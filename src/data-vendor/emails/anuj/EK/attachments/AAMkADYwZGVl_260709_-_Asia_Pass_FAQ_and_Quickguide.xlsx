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mc:AlternateContent xmlns:mc="http://schemas.openxmlformats.org/markup-compatibility/2006">
    <mc:Choice Requires="x15">
      <x15ac:absPath xmlns:x15ac="http://schemas.microsoft.com/office/spreadsheetml/2010/11/ac" url="https://emiratesgroup.sharepoint.com/sites/SalesEffectiveness/Shared Documents/General/Sales Effectiveness Main Folder/Commercial Product/Asia Pass/"/>
    </mc:Choice>
  </mc:AlternateContent>
  <xr:revisionPtr revIDLastSave="0" documentId="8_{BF16D77F-2D06-4124-A286-F3AD8495DB3E}" xr6:coauthVersionLast="47" xr6:coauthVersionMax="47" xr10:uidLastSave="{00000000-0000-0000-0000-000000000000}"/>
  <bookViews>
    <workbookView xWindow="-110" yWindow="-110" windowWidth="19420" windowHeight="10300" firstSheet="6" activeTab="6" xr2:uid="{2998276D-2ABB-4870-BDC0-4CAF2E434AF1}"/>
  </bookViews>
  <sheets>
    <sheet name="Sheet1" sheetId="1" state="hidden" r:id="rId1"/>
    <sheet name="Sheet4" sheetId="4" state="hidden" r:id="rId2"/>
    <sheet name="Add-ons" sheetId="3" state="hidden" r:id="rId3"/>
    <sheet name="availability" sheetId="7" state="hidden" r:id="rId4"/>
    <sheet name="PG Discovery pass" sheetId="6" state="hidden" r:id="rId5"/>
    <sheet name="SPA Rates" sheetId="14" state="hidden" r:id="rId6"/>
    <sheet name="FAQs" sheetId="17" r:id="rId7"/>
  </sheets>
  <externalReferences>
    <externalReference r:id="rId8"/>
    <externalReference r:id="rId9"/>
    <externalReference r:id="rId10"/>
    <externalReference r:id="rId11"/>
  </externalReferences>
  <definedNames>
    <definedName name="\p">#REF!</definedName>
    <definedName name="_10off">#REF!</definedName>
    <definedName name="_10pcOff">#REF!</definedName>
    <definedName name="_15off">#REF!</definedName>
    <definedName name="_15pcOff">#REF!</definedName>
    <definedName name="_20off">#REF!</definedName>
    <definedName name="_20pcOff">#REF!</definedName>
    <definedName name="_25off">#REF!</definedName>
    <definedName name="_25pcOff">#REF!</definedName>
    <definedName name="_30off">#REF!</definedName>
    <definedName name="_30pcOff">#REF!</definedName>
    <definedName name="_35off">#REF!</definedName>
    <definedName name="_35pcOff">#REF!</definedName>
    <definedName name="_3off">#REF!</definedName>
    <definedName name="_3pccoff">#REF!</definedName>
    <definedName name="_3PCoff">#REF!</definedName>
    <definedName name="_40off">#REF!</definedName>
    <definedName name="_40pcOff">#REF!</definedName>
    <definedName name="_45off">#REF!</definedName>
    <definedName name="_45pcOff">#REF!</definedName>
    <definedName name="_50off">#REF!</definedName>
    <definedName name="_50pcOff">#REF!</definedName>
    <definedName name="_55pcOff">#REF!</definedName>
    <definedName name="_5off">#REF!</definedName>
    <definedName name="_5pcOff">#REF!</definedName>
    <definedName name="_60off">#REF!</definedName>
    <definedName name="_60pcOff">#REF!</definedName>
    <definedName name="_7pcOff">#REF!</definedName>
    <definedName name="_xlnm._FilterDatabase" localSheetId="2" hidden="1">'Add-ons'!$B$6:$R$62</definedName>
    <definedName name="_xlnm._FilterDatabase" localSheetId="0" hidden="1">Sheet1!$B$6:$I$131</definedName>
    <definedName name="AMERICA">#REF!</definedName>
    <definedName name="APAL">[1]DataValues!$V$3:$V$4</definedName>
    <definedName name="APDAYS">[1]DataValues!$R$3:$R$123</definedName>
    <definedName name="Brand">#REF!</definedName>
    <definedName name="CHANGE">[1]DataValues!$AR$2:$AR$6</definedName>
    <definedName name="CHANGEYESNO">[1]DataValues!#REF!</definedName>
    <definedName name="Child">'[2]Rule Conditions'!$L$2:$L$3</definedName>
    <definedName name="combination">'[2]Rule Conditions'!$K$2:$K$3</definedName>
    <definedName name="CTRYCURR">#REF!</definedName>
    <definedName name="_xlnm.Database">#REF!</definedName>
    <definedName name="Destination">#REF!</definedName>
    <definedName name="Entry_Level">#REF!</definedName>
    <definedName name="Exclude">'[3]Fare By Rule'!#REF!</definedName>
    <definedName name="Flight">'[2]Rule Conditions'!$I$2:$I$3</definedName>
    <definedName name="hd">[1]DataValues!#REF!</definedName>
    <definedName name="hh">#REF!</definedName>
    <definedName name="INTROX">#REF!</definedName>
    <definedName name="K1_TPFR2">#REF!</definedName>
    <definedName name="less5">#REF!</definedName>
    <definedName name="M">#REF!</definedName>
    <definedName name="MAXSTAY">[1]DataValues!$Y$3:$Y$10</definedName>
    <definedName name="mel">#REF!</definedName>
    <definedName name="MIDEAST">#REF!</definedName>
    <definedName name="MINSTAY">[1]DataValues!$W$3:$W$10</definedName>
    <definedName name="MINTSI">[1]DataValues!$X$3:$X$6</definedName>
    <definedName name="OBIB">[1]DataValues!$M$3:$M$5</definedName>
    <definedName name="off">#REF!</definedName>
    <definedName name="Operating_Cxr">#REF!</definedName>
    <definedName name="Ori_City_Name">#REF!</definedName>
    <definedName name="Origin">#REF!</definedName>
    <definedName name="PFMTPM">#REF!</definedName>
    <definedName name="PLATE">[1]DataValues!$AE$3:$AE$4</definedName>
    <definedName name="_xlnm.Print_Area" localSheetId="6">FAQs!$B$1:$I$91</definedName>
    <definedName name="Produce">[4]!Productx[Product]</definedName>
    <definedName name="Product">[4]!Productx[[#Headers],[Product]]</definedName>
    <definedName name="ProductType">'[2]Product Fare Type Deal Code '!$B$1:$B$4</definedName>
    <definedName name="RFND_AFT">[1]DataValues!$AR$19:$AR$22</definedName>
    <definedName name="RFND_B4">[1]DataValues!$AR$13:$AR$16</definedName>
    <definedName name="RULE_TEMPLATE_HOME">#REF!</definedName>
    <definedName name="Slicer_Country_Name">#N/A</definedName>
    <definedName name="Slicer_OAL">#N/A</definedName>
    <definedName name="SSS">#REF!</definedName>
    <definedName name="stopover">'[2]Rule Conditions'!$E$2:$E$3</definedName>
    <definedName name="subtype">'[2]Product Fare Type Deal Code '!$F$1:$F$14</definedName>
    <definedName name="test">[1]DataValues!#REF!</definedName>
    <definedName name="test\">[1]DataValues!#REF!</definedName>
    <definedName name="Tier">#REF!</definedName>
    <definedName name="TradeUp_1">#REF!</definedName>
    <definedName name="TradeUp_2">#REF!</definedName>
    <definedName name="TradeUp_3">#REF!</definedName>
    <definedName name="UKHOLL">#REF!</definedName>
    <definedName name="YESNO">[1]DataValues!$L$3:$L$5</definedName>
  </definedNames>
  <calcPr calcId="191028"/>
  <pivotCaches>
    <pivotCache cacheId="42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2" i="3" l="1"/>
  <c r="S29" i="3"/>
  <c r="S13" i="3"/>
  <c r="S34" i="3"/>
  <c r="S49" i="3"/>
  <c r="S47" i="3"/>
  <c r="S39" i="3"/>
  <c r="S48" i="3"/>
  <c r="S43" i="3"/>
  <c r="S46" i="3"/>
  <c r="S51" i="3"/>
  <c r="S37" i="3"/>
  <c r="S45" i="3"/>
  <c r="S59" i="3"/>
  <c r="S55" i="3" l="1"/>
  <c r="S32" i="3"/>
  <c r="S57" i="3"/>
  <c r="S38" i="3"/>
  <c r="S12" i="3"/>
  <c r="S22" i="3"/>
  <c r="S14" i="3"/>
  <c r="S11" i="3"/>
  <c r="S7" i="3"/>
  <c r="S10" i="3"/>
  <c r="S56" i="3"/>
  <c r="S18" i="3"/>
  <c r="S9" i="3"/>
  <c r="S19" i="3"/>
  <c r="S26" i="3"/>
  <c r="S60" i="3"/>
  <c r="S36" i="3"/>
  <c r="S35" i="3"/>
  <c r="S33" i="3"/>
  <c r="S31" i="3"/>
  <c r="S20" i="3"/>
  <c r="S17" i="3"/>
  <c r="S16" i="3"/>
  <c r="S8" i="3"/>
  <c r="S21" i="3"/>
  <c r="S25" i="3"/>
  <c r="S24" i="3"/>
  <c r="S23" i="3"/>
  <c r="S15" i="3"/>
  <c r="S54" i="3"/>
  <c r="S30" i="3"/>
  <c r="S28" i="3"/>
  <c r="S61" i="3"/>
  <c r="S58" i="3"/>
  <c r="S27" i="3"/>
  <c r="S52" i="3"/>
  <c r="S53" i="3"/>
  <c r="S50" i="3"/>
  <c r="S42" i="3"/>
  <c r="S41" i="3"/>
  <c r="S40" i="3"/>
  <c r="S44" i="3"/>
</calcChain>
</file>

<file path=xl/sharedStrings.xml><?xml version="1.0" encoding="utf-8"?>
<sst xmlns="http://schemas.openxmlformats.org/spreadsheetml/2006/main" count="2040" uniqueCount="658">
  <si>
    <t>SECTOR</t>
  </si>
  <si>
    <t>CARRIER</t>
  </si>
  <si>
    <t>CURRENCY</t>
  </si>
  <si>
    <t>NET OW/HALF RT AMOUNT</t>
  </si>
  <si>
    <t>ECONOMY</t>
  </si>
  <si>
    <t>RBD</t>
  </si>
  <si>
    <t>VALIDITY</t>
  </si>
  <si>
    <t>CS Y/N</t>
  </si>
  <si>
    <t>BDOKUL</t>
  </si>
  <si>
    <t>OD</t>
  </si>
  <si>
    <t>USD</t>
  </si>
  <si>
    <t>ALL</t>
  </si>
  <si>
    <t>N</t>
  </si>
  <si>
    <t>BKIKUL</t>
  </si>
  <si>
    <t>CANKUL</t>
  </si>
  <si>
    <t>CGKKUL</t>
  </si>
  <si>
    <t>DADKUL</t>
  </si>
  <si>
    <t>DMKKUL</t>
  </si>
  <si>
    <t>DPSKUL</t>
  </si>
  <si>
    <t>HKTKUL</t>
  </si>
  <si>
    <t>KCHKUL</t>
  </si>
  <si>
    <t>KULKCH</t>
  </si>
  <si>
    <t>KULKTM</t>
  </si>
  <si>
    <t>KULLGK</t>
  </si>
  <si>
    <t>KULNRT</t>
  </si>
  <si>
    <t>KULPEN</t>
  </si>
  <si>
    <t>KULSGN</t>
  </si>
  <si>
    <t>KULSIN</t>
  </si>
  <si>
    <t>KULTPE</t>
  </si>
  <si>
    <t>BKKCNX</t>
  </si>
  <si>
    <t>PG</t>
  </si>
  <si>
    <t>G</t>
  </si>
  <si>
    <t>BKKDAD</t>
  </si>
  <si>
    <t>BKKHDY</t>
  </si>
  <si>
    <t>BKKHKT</t>
  </si>
  <si>
    <t>BKKKBV</t>
  </si>
  <si>
    <t>BKKLPQ</t>
  </si>
  <si>
    <t>BKKLPT</t>
  </si>
  <si>
    <t>BKKMDL</t>
  </si>
  <si>
    <t>BKKMLE</t>
  </si>
  <si>
    <t>BKKNYT</t>
  </si>
  <si>
    <t>BKKPNH</t>
  </si>
  <si>
    <t>BKKREP</t>
  </si>
  <si>
    <t>BKKRGN</t>
  </si>
  <si>
    <t>BKKTDX</t>
  </si>
  <si>
    <t>BKKTHS</t>
  </si>
  <si>
    <t>BKKUSM</t>
  </si>
  <si>
    <t>CNXHAN</t>
  </si>
  <si>
    <t>CNXHGN</t>
  </si>
  <si>
    <t>CNXHKT</t>
  </si>
  <si>
    <t>CNXKBV</t>
  </si>
  <si>
    <t>CNXLPQ</t>
  </si>
  <si>
    <t>CNXMDL</t>
  </si>
  <si>
    <t>CNXRGN</t>
  </si>
  <si>
    <t>CNXUSM</t>
  </si>
  <si>
    <t>HKTHDY</t>
  </si>
  <si>
    <t>HKTUTP</t>
  </si>
  <si>
    <t>USMHDY</t>
  </si>
  <si>
    <t>USMHKG</t>
  </si>
  <si>
    <t>USMHKT</t>
  </si>
  <si>
    <t>USMKBV</t>
  </si>
  <si>
    <t>USMKUL</t>
  </si>
  <si>
    <t>USMSIN</t>
  </si>
  <si>
    <t>USMUTP</t>
  </si>
  <si>
    <t>CGKAMQ</t>
  </si>
  <si>
    <t>ID</t>
  </si>
  <si>
    <t>M</t>
  </si>
  <si>
    <t>CGKBPN</t>
  </si>
  <si>
    <t>CGKBTH</t>
  </si>
  <si>
    <t>CGKBTJ</t>
  </si>
  <si>
    <t>CGKLBJ</t>
  </si>
  <si>
    <t>CGKLOP</t>
  </si>
  <si>
    <t>CGKMDC</t>
  </si>
  <si>
    <t>CGKPKU</t>
  </si>
  <si>
    <t>CGKPKY</t>
  </si>
  <si>
    <t>CGKSOC</t>
  </si>
  <si>
    <t>CGKSOQ</t>
  </si>
  <si>
    <t>CGKSRG</t>
  </si>
  <si>
    <t>CGKSUB</t>
  </si>
  <si>
    <t>CGKTNJ</t>
  </si>
  <si>
    <t>CGKUPG</t>
  </si>
  <si>
    <t>CGKYIA</t>
  </si>
  <si>
    <t>DPSLBJ</t>
  </si>
  <si>
    <t>DPSSUB</t>
  </si>
  <si>
    <t>KULKNO</t>
  </si>
  <si>
    <t>SINCGK</t>
  </si>
  <si>
    <t>SINKNO</t>
  </si>
  <si>
    <t>BJSCAN</t>
  </si>
  <si>
    <t>CZ</t>
  </si>
  <si>
    <t>E</t>
  </si>
  <si>
    <t>BJSCGO</t>
  </si>
  <si>
    <t>BJSCGQ</t>
  </si>
  <si>
    <t>BJSCKG</t>
  </si>
  <si>
    <t>BJSCSX</t>
  </si>
  <si>
    <t>BJSCTU</t>
  </si>
  <si>
    <t>BJSDLC</t>
  </si>
  <si>
    <t>BJSHAK</t>
  </si>
  <si>
    <t>BJSHGH</t>
  </si>
  <si>
    <t>BJSHRB</t>
  </si>
  <si>
    <t>BJSKMG</t>
  </si>
  <si>
    <t>BJSSHE</t>
  </si>
  <si>
    <t>BJSSIA</t>
  </si>
  <si>
    <t>BJSSZX</t>
  </si>
  <si>
    <t>BJSURC</t>
  </si>
  <si>
    <t>BJSWUH</t>
  </si>
  <si>
    <t>CANCGO</t>
  </si>
  <si>
    <t>CANCKG</t>
  </si>
  <si>
    <t>CANCSX</t>
  </si>
  <si>
    <t>CANCTU</t>
  </si>
  <si>
    <t>CANDLC</t>
  </si>
  <si>
    <t>CANFOC</t>
  </si>
  <si>
    <t>CANHAK</t>
  </si>
  <si>
    <t>CANHRB</t>
  </si>
  <si>
    <t>CANKMG</t>
  </si>
  <si>
    <t>CANKWE</t>
  </si>
  <si>
    <t>CANKWL</t>
  </si>
  <si>
    <t>CANNGO</t>
  </si>
  <si>
    <t>CANNKG</t>
  </si>
  <si>
    <t>CANOSA</t>
  </si>
  <si>
    <t>CANPUS</t>
  </si>
  <si>
    <t>CANSEL</t>
  </si>
  <si>
    <t>CANSHA</t>
  </si>
  <si>
    <t>CANSHE</t>
  </si>
  <si>
    <t>CANSIA</t>
  </si>
  <si>
    <t>CANSWA</t>
  </si>
  <si>
    <t>CANTAO</t>
  </si>
  <si>
    <t>CANTPE</t>
  </si>
  <si>
    <t>CANTYO</t>
  </si>
  <si>
    <t>CANURC</t>
  </si>
  <si>
    <t>CANWUH</t>
  </si>
  <si>
    <t>CANXMN</t>
  </si>
  <si>
    <t>CANZHA</t>
  </si>
  <si>
    <t>CGOSHA</t>
  </si>
  <si>
    <t>CKGSHA</t>
  </si>
  <si>
    <t>CSXSHA</t>
  </si>
  <si>
    <t>CTUSHA</t>
  </si>
  <si>
    <t>DLCSHA</t>
  </si>
  <si>
    <t>KMGSHA</t>
  </si>
  <si>
    <t>SHASHE</t>
  </si>
  <si>
    <t>SHASZX</t>
  </si>
  <si>
    <t>SHATAO</t>
  </si>
  <si>
    <t>SHAURC</t>
  </si>
  <si>
    <t>SHAWUH</t>
  </si>
  <si>
    <t>Itinerary 1</t>
  </si>
  <si>
    <t>BKK (EK*)</t>
  </si>
  <si>
    <t>KBV (EK*)</t>
  </si>
  <si>
    <t>USM (EK*)</t>
  </si>
  <si>
    <t>HKT (EK*)</t>
  </si>
  <si>
    <t>Itinerary 2</t>
  </si>
  <si>
    <t>UTP (EK*)</t>
  </si>
  <si>
    <t>CNX (EK)</t>
  </si>
  <si>
    <t>HKT (EK)</t>
  </si>
  <si>
    <t>Itinerary 3</t>
  </si>
  <si>
    <t>KUL (EK*)</t>
  </si>
  <si>
    <t>LGK (EK*)</t>
  </si>
  <si>
    <t>JHB (EK*)</t>
  </si>
  <si>
    <t>Codeshare or Interline</t>
  </si>
  <si>
    <t>(All)</t>
  </si>
  <si>
    <t>Itinerary 4</t>
  </si>
  <si>
    <t>KCH (EK*)</t>
  </si>
  <si>
    <t>PEN (EK*)</t>
  </si>
  <si>
    <t>BKI (EK*)</t>
  </si>
  <si>
    <t>Journey Type</t>
  </si>
  <si>
    <t>Itinerary 5</t>
  </si>
  <si>
    <t>BKK (EK)</t>
  </si>
  <si>
    <t>SAI //</t>
  </si>
  <si>
    <t>KTI /PNH (EK)</t>
  </si>
  <si>
    <t>SIN (EK*)</t>
  </si>
  <si>
    <t>KUL (OD)</t>
  </si>
  <si>
    <t>DAD (EK)</t>
  </si>
  <si>
    <t>BKK</t>
  </si>
  <si>
    <t>Min of Average</t>
  </si>
  <si>
    <t>OD Pair</t>
  </si>
  <si>
    <t>Total</t>
  </si>
  <si>
    <t>Zone 1</t>
  </si>
  <si>
    <t>Zone 2</t>
  </si>
  <si>
    <t>Zone 3</t>
  </si>
  <si>
    <t>BKKHGN</t>
  </si>
  <si>
    <t>KULHKT</t>
  </si>
  <si>
    <t>BKKKTI</t>
  </si>
  <si>
    <t>KULJHB</t>
  </si>
  <si>
    <t>SGNKUL</t>
  </si>
  <si>
    <t>KTIBKK</t>
  </si>
  <si>
    <t>KULBKK</t>
  </si>
  <si>
    <t>BKKKUL</t>
  </si>
  <si>
    <t>SINKUL</t>
  </si>
  <si>
    <t>KULBKI</t>
  </si>
  <si>
    <t>HKTUSM</t>
  </si>
  <si>
    <t>BKKVTE</t>
  </si>
  <si>
    <t>HKTCNX</t>
  </si>
  <si>
    <t>BKKPQC</t>
  </si>
  <si>
    <t>KULDPS</t>
  </si>
  <si>
    <t>KULJKT</t>
  </si>
  <si>
    <t>BKKSAI</t>
  </si>
  <si>
    <t>KULDAD</t>
  </si>
  <si>
    <t>SAIBKK</t>
  </si>
  <si>
    <t>KULUSM</t>
  </si>
  <si>
    <t>JKTKUL</t>
  </si>
  <si>
    <t>TPEKUL</t>
  </si>
  <si>
    <t>HKGUSM</t>
  </si>
  <si>
    <t>MLEBKK</t>
  </si>
  <si>
    <t>KULCAN</t>
  </si>
  <si>
    <t>KULTYO</t>
  </si>
  <si>
    <t>TYOKUL</t>
  </si>
  <si>
    <t>SINUSM</t>
  </si>
  <si>
    <t>Grand Total</t>
  </si>
  <si>
    <t>Country Name</t>
  </si>
  <si>
    <t>City Name</t>
  </si>
  <si>
    <t>ISO</t>
  </si>
  <si>
    <t>City Code</t>
  </si>
  <si>
    <t>OAL</t>
  </si>
  <si>
    <t>Addon</t>
  </si>
  <si>
    <t>Addon City Code</t>
  </si>
  <si>
    <t>Add-on</t>
  </si>
  <si>
    <t>Saver</t>
  </si>
  <si>
    <t>Flex</t>
  </si>
  <si>
    <t>Flex+</t>
  </si>
  <si>
    <t>Average</t>
  </si>
  <si>
    <t>Code</t>
  </si>
  <si>
    <t>ISO Cntry Code</t>
  </si>
  <si>
    <t>Curr</t>
  </si>
  <si>
    <t>OW</t>
  </si>
  <si>
    <t>Cambodia</t>
  </si>
  <si>
    <t xml:space="preserve">PHNOM PENH </t>
  </si>
  <si>
    <t>KH</t>
  </si>
  <si>
    <t>KTI</t>
  </si>
  <si>
    <t>TH</t>
  </si>
  <si>
    <t>Bangkok</t>
  </si>
  <si>
    <t>Thailand</t>
  </si>
  <si>
    <t>Codeshare</t>
  </si>
  <si>
    <t>International</t>
  </si>
  <si>
    <t>Malayasia</t>
  </si>
  <si>
    <t>Kuala Lumpur</t>
  </si>
  <si>
    <t>MY</t>
  </si>
  <si>
    <t>KUL</t>
  </si>
  <si>
    <t>Interline</t>
  </si>
  <si>
    <t>Maldives</t>
  </si>
  <si>
    <t>Male</t>
  </si>
  <si>
    <t>MV</t>
  </si>
  <si>
    <t>MLE</t>
  </si>
  <si>
    <t>SIEM REAP</t>
  </si>
  <si>
    <t>SAI</t>
  </si>
  <si>
    <t>EK operated</t>
  </si>
  <si>
    <t>CNX</t>
  </si>
  <si>
    <t>Chiang Mai</t>
  </si>
  <si>
    <t>Domestic</t>
  </si>
  <si>
    <t>Phuket</t>
  </si>
  <si>
    <t>HKT</t>
  </si>
  <si>
    <t>VN</t>
  </si>
  <si>
    <t>DAD</t>
  </si>
  <si>
    <t>Da Nang</t>
  </si>
  <si>
    <t>Vietnam</t>
  </si>
  <si>
    <t>OD/EK</t>
  </si>
  <si>
    <t>DPS</t>
  </si>
  <si>
    <t>Denpasar</t>
  </si>
  <si>
    <t>Indonesia</t>
  </si>
  <si>
    <t>CN</t>
  </si>
  <si>
    <t>CAN</t>
  </si>
  <si>
    <t>Guangzhou</t>
  </si>
  <si>
    <t>China</t>
  </si>
  <si>
    <t>HGN</t>
  </si>
  <si>
    <t>Hanoi</t>
  </si>
  <si>
    <t>HDY</t>
  </si>
  <si>
    <t>Hat Yai</t>
  </si>
  <si>
    <t>SGN</t>
  </si>
  <si>
    <t>Ho Chi Minh</t>
  </si>
  <si>
    <t>JKT</t>
  </si>
  <si>
    <t>Jakarta</t>
  </si>
  <si>
    <t>JHB</t>
  </si>
  <si>
    <t>Jojor Bahru</t>
  </si>
  <si>
    <t>Malaysia</t>
  </si>
  <si>
    <t>USM</t>
  </si>
  <si>
    <t>Ko Samui</t>
  </si>
  <si>
    <t>Hongkong</t>
  </si>
  <si>
    <t>HK</t>
  </si>
  <si>
    <t>HKG</t>
  </si>
  <si>
    <t>Singapore</t>
  </si>
  <si>
    <t>SG</t>
  </si>
  <si>
    <t>SIN</t>
  </si>
  <si>
    <t>BKI</t>
  </si>
  <si>
    <t>Kota Kinabalu</t>
  </si>
  <si>
    <t>KBV</t>
  </si>
  <si>
    <t>Krabi</t>
  </si>
  <si>
    <t>Krong Ta Khmau</t>
  </si>
  <si>
    <t>OD/MH</t>
  </si>
  <si>
    <t>Canton</t>
  </si>
  <si>
    <t xml:space="preserve">Indonesia </t>
  </si>
  <si>
    <t>OD/EK/MH</t>
  </si>
  <si>
    <t>OD/EK/GA</t>
  </si>
  <si>
    <t>OD/EK/3K</t>
  </si>
  <si>
    <t xml:space="preserve">Taiwan </t>
  </si>
  <si>
    <t>Taipei</t>
  </si>
  <si>
    <t>TW</t>
  </si>
  <si>
    <t>TPE</t>
  </si>
  <si>
    <t>Japan</t>
  </si>
  <si>
    <t>Tokyo</t>
  </si>
  <si>
    <t>JP</t>
  </si>
  <si>
    <t>TYO</t>
  </si>
  <si>
    <t>OD/JL/MH</t>
  </si>
  <si>
    <t>KCH</t>
  </si>
  <si>
    <t>Kuching</t>
  </si>
  <si>
    <t>LPT</t>
  </si>
  <si>
    <t>Lampang</t>
  </si>
  <si>
    <t>LGK</t>
  </si>
  <si>
    <t>Langkawi</t>
  </si>
  <si>
    <t>LA</t>
  </si>
  <si>
    <t>LPQ</t>
  </si>
  <si>
    <t>Luang Prabang</t>
  </si>
  <si>
    <t>Lao</t>
  </si>
  <si>
    <t>MM</t>
  </si>
  <si>
    <t>MDL</t>
  </si>
  <si>
    <t>Mandalay</t>
  </si>
  <si>
    <t>Myanmar</t>
  </si>
  <si>
    <t>NYT</t>
  </si>
  <si>
    <t>Nay Pyi taw</t>
  </si>
  <si>
    <t>PEN</t>
  </si>
  <si>
    <t>Penang</t>
  </si>
  <si>
    <t>PNH</t>
  </si>
  <si>
    <t>Phnom Penh</t>
  </si>
  <si>
    <t>PQC</t>
  </si>
  <si>
    <t>Phu Quoc Island</t>
  </si>
  <si>
    <t>Siem Reap</t>
  </si>
  <si>
    <t>THS</t>
  </si>
  <si>
    <t>Sukhothai</t>
  </si>
  <si>
    <t>Taiwan</t>
  </si>
  <si>
    <t>TDX</t>
  </si>
  <si>
    <t>Trat</t>
  </si>
  <si>
    <t>UTP</t>
  </si>
  <si>
    <t>Utapao</t>
  </si>
  <si>
    <t>VTE</t>
  </si>
  <si>
    <t>Vientiane</t>
  </si>
  <si>
    <t>RGN</t>
  </si>
  <si>
    <t>Yangon</t>
  </si>
  <si>
    <t xml:space="preserve">MON 15SEP25 KUALA LUMPUR-PENANG      15/0001 15/2359       G*RSS   </t>
  </si>
  <si>
    <t xml:space="preserve">01 KUL PEN    0820 0920 *EK3430 JC CC IC OC HC PC YC RC XC 738     </t>
  </si>
  <si>
    <t xml:space="preserve">                                MC BC UC KC QC LC TC VC            </t>
  </si>
  <si>
    <t xml:space="preserve">           OPERATED BY BATIK AIR MALAYSIA                          </t>
  </si>
  <si>
    <t xml:space="preserve">02 KUL PEN    1600 1700 *EK3431 JC CC I4 O4 H4 P4 YC RC XC 738     </t>
  </si>
  <si>
    <t xml:space="preserve">                                MC BC UC KC QC L7 T7 V7            </t>
  </si>
  <si>
    <t xml:space="preserve"> WED 10SEP25 KUALA LUMPUR-LANGKAWI    10/0001 10/2359       G*RSS   </t>
  </si>
  <si>
    <t xml:space="preserve"> 01 KUL LGK    1000 1105 *EK3435 JC CC IC OC HC PC YC RC XC 738     </t>
  </si>
  <si>
    <t xml:space="preserve">                                 MC BC UC KC QC L7 T7 V7            </t>
  </si>
  <si>
    <t xml:space="preserve">            OPERATED BY BATIK AIR MALAYSIA                          </t>
  </si>
  <si>
    <t xml:space="preserve"> 02 KUL LGK    1255 1400 *EK3436 JC CC IC OC HC PC YC RC XC 738     </t>
  </si>
  <si>
    <t xml:space="preserve"> 03 KUL LGK    1800 1905 *EK3440 JC CC IC OC HC PC YC RC XC 738     </t>
  </si>
  <si>
    <t xml:space="preserve">                                 MC BC UC KC QC LC TC VC            </t>
  </si>
  <si>
    <t xml:space="preserve"> WED 10SEP25 KUALA LUMPUR-JOHOR BAHRU 10/0001 10/2359       G*RSS    </t>
  </si>
  <si>
    <t xml:space="preserve"> 01 KUL JHB    2030 2130 *EK3445 JC CC IC OC HC PC YC RC XC 738      </t>
  </si>
  <si>
    <t xml:space="preserve"> XX KUL JHB    1700 1800 *MH4663 -FLT CANCELED-             738      </t>
  </si>
  <si>
    <t xml:space="preserve">                                 MC BC UC KC QC LC TC VC             </t>
  </si>
  <si>
    <t xml:space="preserve">            OPERATED BY FLYFIREFLY SDN. BHD                          </t>
  </si>
  <si>
    <t xml:space="preserve">            OPERATED BY BATIK AIR MALAYSIA                           </t>
  </si>
  <si>
    <t xml:space="preserve"> 11 KUL JHB    1805 1905 *8M9576 JA DA YA BA HA KA MA LA VA 330      </t>
  </si>
  <si>
    <t xml:space="preserve"> 02 KUL JHB    0750 0850  MH1037 J9 C9 D9 Z7 I2 U2 Y9 B9 H9 73H      </t>
  </si>
  <si>
    <t xml:space="preserve">                                 SA                                  </t>
  </si>
  <si>
    <t xml:space="preserve">                                 K9 M9 L9 V9 S9 N9 Q9 O9 X9          </t>
  </si>
  <si>
    <t xml:space="preserve">            OPERATED BY MALAYSIAN AIRLINES                           </t>
  </si>
  <si>
    <t xml:space="preserve">                                 GL                                  </t>
  </si>
  <si>
    <t xml:space="preserve"> 12 KUL JHB    1805 1905 *BI3011 Z4 J4 C4 D4 L7 B7 Y7 N7 H7 738      </t>
  </si>
  <si>
    <t xml:space="preserve"> 03 KUL JHB    0750 0850 *PR3502 C2 D2 I2 S4 L4 M4 H4 Q4 V4 73H      </t>
  </si>
  <si>
    <t xml:space="preserve">                                 M7 W7 T7 K7 O7 V7 S7 R7 Q7          </t>
  </si>
  <si>
    <t xml:space="preserve">                                 B4 X4 K4 E4 T4                      </t>
  </si>
  <si>
    <t xml:space="preserve">                                 X7 U7                               </t>
  </si>
  <si>
    <t xml:space="preserve"> 04 KUL JHB    0935 1035 *EY5675 J2 C2 D2 W2 Z2 Y4 B4 H4 K4 737      </t>
  </si>
  <si>
    <t xml:space="preserve"> 13 KUL JHB    2030 2130 *EY5627 J2 C2 D2 W2 Z2 Y4 B4 H4 K4 737      </t>
  </si>
  <si>
    <t xml:space="preserve">                                 M4 Q4 L4 V4 U4 E4 T4                </t>
  </si>
  <si>
    <t xml:space="preserve"> 05 KUL JHB    0935 1035  OD2407 CA JA DA IL ZL YA AA WA SA 738      </t>
  </si>
  <si>
    <t xml:space="preserve"> 14 KUL JHB    2030 2130  OD2403 CA JA DA IL ZL YA AA WA SA 738      </t>
  </si>
  <si>
    <t xml:space="preserve">                                 BA HA KA LA MA NA QA TA VA          </t>
  </si>
  <si>
    <t xml:space="preserve">                                 BA HA KA LA MA NA QA TA VL          </t>
  </si>
  <si>
    <t xml:space="preserve">                                 XL GL UA OL                         </t>
  </si>
  <si>
    <t xml:space="preserve"> 06 SZB JHB    1020 1130 *MH5337 Y9 B9 H9 K9 M9 L9 V9 S9 N9 AT7      </t>
  </si>
  <si>
    <t xml:space="preserve">                                 Q9 OC                               </t>
  </si>
  <si>
    <t xml:space="preserve"> 07 KUL JHB    1400 1500 *EY5628 J2 C2 D2 W2 Z2 Y4 B4 H4 K4 737      </t>
  </si>
  <si>
    <t xml:space="preserve"> 08 KUL JHB    1400 1500  OD2405 CA JA DA IL ZL YA AA WA SA 738      </t>
  </si>
  <si>
    <t xml:space="preserve"> 09 SZB JHB    1410 1520 *MH5343 Y9 B9 H9 K9 M9 L9 V9 S9 N9 AT7      </t>
  </si>
  <si>
    <t xml:space="preserve">FRI 19SEP25 KUALA LUMPUR-JOHOR BAHRU 19/0001 19/2359       G*RSS  </t>
  </si>
  <si>
    <r>
      <t>01 KUL JHB    2030 2130 *EK3445 JC CC I4 O4 H</t>
    </r>
    <r>
      <rPr>
        <sz val="11"/>
        <color rgb="FFFF0000"/>
        <rFont val="Aptos Narrow"/>
        <family val="2"/>
        <scheme val="minor"/>
      </rPr>
      <t>4 P4</t>
    </r>
    <r>
      <rPr>
        <sz val="11"/>
        <color theme="1"/>
        <rFont val="Aptos Narrow"/>
        <family val="2"/>
        <scheme val="minor"/>
      </rPr>
      <t xml:space="preserve"> YC RC XC 738    </t>
    </r>
  </si>
  <si>
    <t xml:space="preserve">                                MC BC UC KC QC LC TC VC           </t>
  </si>
  <si>
    <t xml:space="preserve">           OPERATED BY BATIK AIR MALAYSIA                         </t>
  </si>
  <si>
    <t xml:space="preserve"> FRI 19SEP25 KUALA LUMPUR-LANGKAWI    19/0001 19/2359       G*RSS   </t>
  </si>
  <si>
    <r>
      <t xml:space="preserve">                                 MC BC UC KC QC</t>
    </r>
    <r>
      <rPr>
        <sz val="11"/>
        <color rgb="FFFF0000"/>
        <rFont val="Aptos Narrow"/>
        <family val="2"/>
        <scheme val="minor"/>
      </rPr>
      <t xml:space="preserve"> L7 T7 V7            </t>
    </r>
  </si>
  <si>
    <r>
      <t xml:space="preserve">                                 MC BC UC KC QC</t>
    </r>
    <r>
      <rPr>
        <sz val="11"/>
        <color rgb="FFFF0000"/>
        <rFont val="Aptos Narrow"/>
        <family val="2"/>
        <scheme val="minor"/>
      </rPr>
      <t xml:space="preserve"> L7 T7 V7 </t>
    </r>
    <r>
      <rPr>
        <sz val="11"/>
        <color theme="1"/>
        <rFont val="Aptos Narrow"/>
        <family val="2"/>
        <scheme val="minor"/>
      </rPr>
      <t xml:space="preserve">           </t>
    </r>
  </si>
  <si>
    <r>
      <t xml:space="preserve">                                 MC BC UC KC QC </t>
    </r>
    <r>
      <rPr>
        <sz val="11"/>
        <color rgb="FFFF0000"/>
        <rFont val="Aptos Narrow"/>
        <family val="2"/>
        <scheme val="minor"/>
      </rPr>
      <t xml:space="preserve">L7 T7 V7 </t>
    </r>
    <r>
      <rPr>
        <sz val="11"/>
        <color theme="1"/>
        <rFont val="Aptos Narrow"/>
        <family val="2"/>
        <scheme val="minor"/>
      </rPr>
      <t xml:space="preserve">           </t>
    </r>
  </si>
  <si>
    <t xml:space="preserve">FRI 19SEP25 KUALA LUMPUR-KUCHING     19/0001 19/2359       G*RSS    </t>
  </si>
  <si>
    <t xml:space="preserve">01 KUL BKI    1900 2130 *EK3444 J4 C4 I4 O4 H4 P4 YC R7 X7 738      </t>
  </si>
  <si>
    <t xml:space="preserve">                                M7 B7 UC KC QC LC TC VC             </t>
  </si>
  <si>
    <t xml:space="preserve">           OPERATED BY BATIK AIR MALAYSIA                           </t>
  </si>
  <si>
    <t xml:space="preserve">02     KCH 20/1955 2120 *MH4710 Y9 BC HC KC MC LC VC SC NC 738      </t>
  </si>
  <si>
    <t xml:space="preserve">                                QC OC                               </t>
  </si>
  <si>
    <t xml:space="preserve">           OPERATED BY FLYFIREFLY SDN. BHD                          </t>
  </si>
  <si>
    <t xml:space="preserve">03 KUL KCH    0630 0825 *MH4608 YC BC HC KC MC LC VC SC NC 738      </t>
  </si>
  <si>
    <t xml:space="preserve">04 KUL KCH    0720 0910 *JL7973 J9 C9 D9 IC XL Y9 B9 H9 K9 738      </t>
  </si>
  <si>
    <t xml:space="preserve">                                M9 L9 V9 SC NC QC OC ZC             </t>
  </si>
  <si>
    <t xml:space="preserve">           OPERATED BY MALAYSIAN AIRLINES                           </t>
  </si>
  <si>
    <t xml:space="preserve">05 KUL KCH    0720 0910  MH2542 J9 C9 D9 ZC I2 U1 Y9 B9 H9 738      </t>
  </si>
  <si>
    <t xml:space="preserve">                                K9 M9 L9 V9 SC NC QC OC XL          </t>
  </si>
  <si>
    <t xml:space="preserve">                                GL                                  </t>
  </si>
  <si>
    <t xml:space="preserve">06 KUL KCH    0720 0910 *PR3526 C2 D2 I2 S4 L4 M4 H4 Q4 V4 738      </t>
  </si>
  <si>
    <t xml:space="preserve">                                B4 X4 K4 E4 T4                      </t>
  </si>
  <si>
    <t xml:space="preserve">07 KUL KCH    0900 1050  OD1634 CA JA DA IL ZL YA AA WA SA 738      </t>
  </si>
  <si>
    <t xml:space="preserve">                                BA HA KA LA ML NL QL TL VL          </t>
  </si>
  <si>
    <t xml:space="preserve">                                XL GL UL OL                         </t>
  </si>
  <si>
    <t xml:space="preserve">08 KUL KCH    0930 1120  MH7452 J9 C9 D9 ZC I2 U2 Y9 B9 H9 73H      </t>
  </si>
  <si>
    <t xml:space="preserve">                                K9 M9 L9 VC SC NC QC OC XL          </t>
  </si>
  <si>
    <t xml:space="preserve">09 KUL KCH    1100 1250  MH2520 J9 C8 D6 ZC I2 UL Y9 B9 H9 73H      </t>
  </si>
  <si>
    <t xml:space="preserve">                                K9 M9 LC VC SC NC QC OC XL          </t>
  </si>
  <si>
    <t xml:space="preserve">FRI 19SEP25 KUALA LUMPU-KOTA KINABAL 19/0001 19/2359       G*RSS   </t>
  </si>
  <si>
    <t xml:space="preserve"> FRI 19SEP25 KUALA LUMPU-KOTA KINABAL 19/0001 19/2359       G*EK   </t>
  </si>
  <si>
    <t xml:space="preserve">01 KUL BKI    1900 2130 *EK3444 J4 C4 I4 O4 H4 P4 YC R7 X7 738     </t>
  </si>
  <si>
    <t xml:space="preserve"> 01 KUL BKI    0730 1000  OD1002 CA JA DA IL ZL YA AA WA SA 738    </t>
  </si>
  <si>
    <t xml:space="preserve">                                M7 B7 UC KC QC LC TC VC            </t>
  </si>
  <si>
    <t xml:space="preserve">                                 BA HA KA LL ML NL QL TL VL        </t>
  </si>
  <si>
    <t xml:space="preserve">                                 XL GL UA OL                       </t>
  </si>
  <si>
    <t xml:space="preserve"> 02 SZB BKI    0800 1035  OD1012 CA JA DA IA ZA YA AA WA SA 738    </t>
  </si>
  <si>
    <t xml:space="preserve">                                 BA HA KA LA MA NA QA TA VA        </t>
  </si>
  <si>
    <t xml:space="preserve">                                 XA GA UA OA                       </t>
  </si>
  <si>
    <t xml:space="preserve"> 03 KUL BKI    1000 1230  OD1004 CA JA DA IL ZL YA AA WA SA 738    </t>
  </si>
  <si>
    <t xml:space="preserve">                                 BA HA KA LA ML NL QL TL VL        </t>
  </si>
  <si>
    <t xml:space="preserve">                                 XL GL UL OL                       </t>
  </si>
  <si>
    <t xml:space="preserve"> 04 KUL BKI    1430 1700  OD1008 YA AA WA SA BA HA KA LA ML 7M8    </t>
  </si>
  <si>
    <t xml:space="preserve">                                 NL QL TL VL XL GA UA OA           </t>
  </si>
  <si>
    <t xml:space="preserve"> 05 KUL BKI    1900 2130  OD1006 CA JA DA IL ZL YA AA WA SA 738    </t>
  </si>
  <si>
    <t xml:space="preserve">                                                                   </t>
  </si>
  <si>
    <t>Domestic Route</t>
  </si>
  <si>
    <t>Fare Per Flight Coupon (Currency: USD)</t>
  </si>
  <si>
    <t>Tier 1</t>
  </si>
  <si>
    <t>Bangkok Airways (PG)*</t>
  </si>
  <si>
    <t>Lao Airlines (QV)</t>
  </si>
  <si>
    <t>Adult</t>
  </si>
  <si>
    <t>Child</t>
  </si>
  <si>
    <t>Infant</t>
  </si>
  <si>
    <t>(No Seat)</t>
  </si>
  <si>
    <t>Route**</t>
  </si>
  <si>
    <t>Bangkok - Chiang Mai V.V.</t>
  </si>
  <si>
    <t>Vientiane - Pakse V.V.</t>
  </si>
  <si>
    <t>Bangkok - Phuket V.V.</t>
  </si>
  <si>
    <t>Vientiane - Luang Prabang V.V.</t>
  </si>
  <si>
    <t>Bangkok - Krabi V.V.</t>
  </si>
  <si>
    <t>Vientiane - Oudomxay V.V.</t>
  </si>
  <si>
    <t>Bangkok - Sukhothai V.V.</t>
  </si>
  <si>
    <t>Vientiane - Xieng Khouang V.V.</t>
  </si>
  <si>
    <t>Bangkok - Trat V.V.</t>
  </si>
  <si>
    <t>Vientiane - Luang Namtha V.V.</t>
  </si>
  <si>
    <t>Bangkok - Lampang V.V.</t>
  </si>
  <si>
    <t>Vientiane - Savannakhet V.V.</t>
  </si>
  <si>
    <t>Bangkok - Chiang Rai V.V.</t>
  </si>
  <si>
    <t>Pakse - Savannakhet V.V.</t>
  </si>
  <si>
    <t>Bangkok - Samui V.V.</t>
  </si>
  <si>
    <t>Luang Prabang - Pakse V.V.</t>
  </si>
  <si>
    <t>Chiang Mai - Mae Hong Son V.V.</t>
  </si>
  <si>
    <t>Chiang Mai - Phuket V.V.</t>
  </si>
  <si>
    <t>Chiang Mai - Krabi</t>
  </si>
  <si>
    <t>Chiang Mai - Samui V.V.</t>
  </si>
  <si>
    <t>Pattaya (U-tapao) - Phuket V.V.</t>
  </si>
  <si>
    <t>Samui - Phuket V.V.</t>
  </si>
  <si>
    <t>Samui - Krabi V.V.</t>
  </si>
  <si>
    <t>Samui - Pattaya (U-tapao) V.V.</t>
  </si>
  <si>
    <t>Phuket - Hat Yai V.V.</t>
  </si>
  <si>
    <t>V.V. = Vice Versa</t>
  </si>
  <si>
    <t>*YQ (Insurance and Fuel surcharge) are included.</t>
  </si>
  <si>
    <t>**All PG &amp; QV codeshare flights operated by other airlines are not permitted.</t>
  </si>
  <si>
    <t>International Route</t>
  </si>
  <si>
    <t>Bangkok Airways (PG)</t>
  </si>
  <si>
    <t>Route*</t>
  </si>
  <si>
    <t>Bangkok - Luang Prabang V.V.</t>
  </si>
  <si>
    <t>Pakse - Siem Reap V.V.</t>
  </si>
  <si>
    <t>Bangkok - Phnom Penh V.V.</t>
  </si>
  <si>
    <t>Pakse - Ho Chi Minh City V.V.</t>
  </si>
  <si>
    <t>Bangkok - Siem Reap V.V.</t>
  </si>
  <si>
    <t>Vientiane - Bangkok V.V.</t>
  </si>
  <si>
    <t>Bangkok - Yangon V.V.</t>
  </si>
  <si>
    <t>Vientiane - Hanoi V.V.</t>
  </si>
  <si>
    <t>What Is The Bangkok Airways Discovery Airpass?</t>
  </si>
  <si>
    <t>Bangkok - Mandalay V.V.</t>
  </si>
  <si>
    <t>Vientiane - Siem Reap V.V.</t>
  </si>
  <si>
    <t>Allows you to purchase a group of one way fares together by leveraging the Bangkok Airways and Lao Airlines network.</t>
  </si>
  <si>
    <t>Bangkok - Nay Pyi Taw V.V.</t>
  </si>
  <si>
    <t>Vientiane - Ho Chi Minh City V.V.</t>
  </si>
  <si>
    <t>Buy tickets at a fraction of regular prices</t>
  </si>
  <si>
    <t>Bangkok - Vientiane V.V.</t>
  </si>
  <si>
    <t>Luang Prabang - Chiang Mai V.V.</t>
  </si>
  <si>
    <t>Geared towards tourists</t>
  </si>
  <si>
    <t>Bangkok - Danang V.V.</t>
  </si>
  <si>
    <t>Luang Prabang - Bangkok V.V.</t>
  </si>
  <si>
    <t>How Does The Discovery Airpass Work?</t>
  </si>
  <si>
    <t>Bangkok - Phu Quoc V.V.</t>
  </si>
  <si>
    <t>Luang Prabang - Hanoi V.V.</t>
  </si>
  <si>
    <t>You basically get a system of coupons (flight tickets) that allow you to fly domestic for a fixed fare or some international flights for a fixed fare.</t>
  </si>
  <si>
    <t>Bangkok - Cam Ranh V.V.</t>
  </si>
  <si>
    <t>Pakse - Bangkok V.V.</t>
  </si>
  <si>
    <t>$88 USD  for domestic</t>
  </si>
  <si>
    <t>Chiang Mai - Yangon V.V.</t>
  </si>
  <si>
    <t>Savannakhet - Bangkok V.V.</t>
  </si>
  <si>
    <t>$120 USD for international</t>
  </si>
  <si>
    <t>Chiang Mai - Mandalay V.V.</t>
  </si>
  <si>
    <t>Chiang Mai - Luang Prabang V.V.</t>
  </si>
  <si>
    <t>The Catch</t>
  </si>
  <si>
    <t>Samui - Singapore V.V.</t>
  </si>
  <si>
    <t>The catch is that you need to buy a minimum of 3 one way tickets up to a maximum of 6.</t>
  </si>
  <si>
    <t>Samui - Kuala Lumper V.V.</t>
  </si>
  <si>
    <t>Of course they only allocate a certain amount of seats for the Discovery Airpass so I would recommend buying this earlier rather than later.</t>
  </si>
  <si>
    <t>Tier 2</t>
  </si>
  <si>
    <t>Taxes/fees are extra of course.</t>
  </si>
  <si>
    <t>There is of course all of the detailed terms and conditions.</t>
  </si>
  <si>
    <t>By no means is this the cheapest way to go.</t>
  </si>
  <si>
    <t xml:space="preserve">On my trip I had to do some comparisons of ALL the flights to see whether it would be cheaper to buy a ticket via the Discovery Airpass </t>
  </si>
  <si>
    <t>Bangkok - Maldives V.V.</t>
  </si>
  <si>
    <t>Vientiane - Singapore V.V.</t>
  </si>
  <si>
    <t>or to buy it from some other low cost carrier like Nok Air, Air Asia etc. DO YOUR HOMEWORK</t>
  </si>
  <si>
    <t>Bangkok - Mumbai V.V.</t>
  </si>
  <si>
    <t>Vientiane - Guangzhou Baiyun V.V.</t>
  </si>
  <si>
    <t>Samui - Hong Kong V.V.</t>
  </si>
  <si>
    <t>Vientiane - Kunming V.V.</t>
  </si>
  <si>
    <t>Luang Prabang - Siem Reap V.V.</t>
  </si>
  <si>
    <t>Luang Prabang - Singapore V.V.</t>
  </si>
  <si>
    <t>*All PG &amp; QV codeshare flights operated by other airlines are not permitted.</t>
  </si>
  <si>
    <t>Q</t>
  </si>
  <si>
    <t>U</t>
  </si>
  <si>
    <t>B</t>
  </si>
  <si>
    <t>X</t>
  </si>
  <si>
    <t>PG SECTOR V.V.</t>
  </si>
  <si>
    <t>Net SPA Amounts per One Way Business/Economy Class in USD</t>
  </si>
  <si>
    <t>Business Class</t>
  </si>
  <si>
    <t>Economy Class</t>
  </si>
  <si>
    <t>PG Domestic Sectors (OW)</t>
  </si>
  <si>
    <t xml:space="preserve">C </t>
  </si>
  <si>
    <t xml:space="preserve"> D </t>
  </si>
  <si>
    <t xml:space="preserve"> Y </t>
  </si>
  <si>
    <t xml:space="preserve"> M </t>
  </si>
  <si>
    <t xml:space="preserve"> K </t>
  </si>
  <si>
    <t xml:space="preserve"> N </t>
  </si>
  <si>
    <t xml:space="preserve"> T </t>
  </si>
  <si>
    <t xml:space="preserve"> L </t>
  </si>
  <si>
    <t xml:space="preserve"> Q </t>
  </si>
  <si>
    <t xml:space="preserve"> G </t>
  </si>
  <si>
    <t>EK RBD</t>
  </si>
  <si>
    <t>U | Q</t>
  </si>
  <si>
    <t>T</t>
  </si>
  <si>
    <t>BKK-CNX</t>
  </si>
  <si>
    <t>-</t>
  </si>
  <si>
    <t>BKK-LPT</t>
  </si>
  <si>
    <t>BKK-THS</t>
  </si>
  <si>
    <t>BKK-TDX</t>
  </si>
  <si>
    <t>BKK-USM</t>
  </si>
  <si>
    <t>BKK-HKT</t>
  </si>
  <si>
    <t>BKK-KBV</t>
  </si>
  <si>
    <t>BKK-HGN</t>
  </si>
  <si>
    <t>HKT-HDY</t>
  </si>
  <si>
    <t xml:space="preserve">HKT-UTP </t>
  </si>
  <si>
    <t>USM-UTP</t>
  </si>
  <si>
    <t>USM-HKT</t>
  </si>
  <si>
    <t>USM-KBV</t>
  </si>
  <si>
    <t>CNX-USM</t>
  </si>
  <si>
    <t>CNX-HKT</t>
  </si>
  <si>
    <t>CNX-KBV</t>
  </si>
  <si>
    <t>PG International Sectors (OW)</t>
  </si>
  <si>
    <t>C</t>
  </si>
  <si>
    <t>D</t>
  </si>
  <si>
    <t>Y</t>
  </si>
  <si>
    <t>K</t>
  </si>
  <si>
    <t>L</t>
  </si>
  <si>
    <t>BKK-LPQ</t>
  </si>
  <si>
    <t>BKK-PNH/KTI</t>
  </si>
  <si>
    <t>BKK-SAI</t>
  </si>
  <si>
    <t>USM-HKG</t>
  </si>
  <si>
    <t>USM-SIN</t>
  </si>
  <si>
    <t>USM-KUL</t>
  </si>
  <si>
    <t>BKK-MLE</t>
  </si>
  <si>
    <t>Cabin</t>
  </si>
  <si>
    <t>J</t>
  </si>
  <si>
    <t>OD RBD</t>
  </si>
  <si>
    <t>W</t>
  </si>
  <si>
    <t>OD Sectors v.v.</t>
  </si>
  <si>
    <t>OW/USD</t>
  </si>
  <si>
    <t>KUL-PEN</t>
  </si>
  <si>
    <t>KUL-KCH</t>
  </si>
  <si>
    <t>KUL-BKI</t>
  </si>
  <si>
    <t>KUL-LGK</t>
  </si>
  <si>
    <t>KUL-KTM</t>
  </si>
  <si>
    <t>KUL-DPS</t>
  </si>
  <si>
    <t>KUL-CGK</t>
  </si>
  <si>
    <t>KUL-SIN</t>
  </si>
  <si>
    <t>KUL-HKT</t>
  </si>
  <si>
    <t>KUL-CAN</t>
  </si>
  <si>
    <t>KUL-DAD</t>
  </si>
  <si>
    <t>KUL-DMK</t>
  </si>
  <si>
    <t>KUL-NRT</t>
  </si>
  <si>
    <t>KUL-SGN</t>
  </si>
  <si>
    <t>KUL-TPE</t>
  </si>
  <si>
    <t>Emirates Asia Pass</t>
  </si>
  <si>
    <t>Overview </t>
  </si>
  <si>
    <r>
      <t>Purpose</t>
    </r>
    <r>
      <rPr>
        <sz val="12"/>
        <rFont val="Aptos"/>
        <family val="2"/>
      </rPr>
      <t>: Simplifies travel across multiple destinations in South East Asia. </t>
    </r>
  </si>
  <si>
    <r>
      <t>Target Audience</t>
    </r>
    <r>
      <rPr>
        <sz val="12"/>
        <rFont val="Aptos"/>
        <family val="2"/>
      </rPr>
      <t>: Leisure travelers and regional market navigators. </t>
    </r>
  </si>
  <si>
    <r>
      <t>Multi-Destination Access</t>
    </r>
    <r>
      <rPr>
        <sz val="12"/>
        <rFont val="Aptos"/>
        <family val="2"/>
      </rPr>
      <t>: Includes cities like  Bangkok, Danang, Denpasar, Singapore, Kuala Lumpur, Phuket, Chiang Mai, Ko Samui, Siam Reap and more.</t>
    </r>
  </si>
  <si>
    <r>
      <t>Flexible Itineraries</t>
    </r>
    <r>
      <rPr>
        <sz val="12"/>
        <rFont val="Aptos"/>
        <family val="2"/>
      </rPr>
      <t>: Open-jaw options, stopovers, and date changes. </t>
    </r>
  </si>
  <si>
    <r>
      <t>Streamlined Booking</t>
    </r>
    <r>
      <rPr>
        <sz val="12"/>
        <rFont val="Aptos"/>
        <family val="2"/>
      </rPr>
      <t>: One pass, one ticket. </t>
    </r>
  </si>
  <si>
    <t>Fare Rules </t>
  </si>
  <si>
    <r>
      <t>Changes</t>
    </r>
    <r>
      <rPr>
        <sz val="12"/>
        <rFont val="Aptos"/>
        <family val="2"/>
      </rPr>
      <t>: USD 15 per reissue. </t>
    </r>
  </si>
  <si>
    <r>
      <t>No-show</t>
    </r>
    <r>
      <rPr>
        <sz val="12"/>
        <rFont val="Aptos"/>
        <family val="2"/>
      </rPr>
      <t>: </t>
    </r>
  </si>
  <si>
    <t>No-show sectors become non-changeable and non-refundable. </t>
  </si>
  <si>
    <t>Subsequent sectors are cancelled and can be rebooked with ADC + no-show fees of the international ticket. </t>
  </si>
  <si>
    <r>
      <t>Combinations</t>
    </r>
    <r>
      <rPr>
        <sz val="12"/>
        <rFont val="Aptos"/>
        <family val="2"/>
      </rPr>
      <t>: </t>
    </r>
  </si>
  <si>
    <t>Permitted with EK international fares in all cabins to Cambodia, Indonesia, Malaysia, Singapore, Thailand, or Vietnam. Not valid for travel originating ANZ nor Far East. </t>
  </si>
  <si>
    <t>End-on-end combinations only. </t>
  </si>
  <si>
    <r>
      <t>Auto Pricing</t>
    </r>
    <r>
      <rPr>
        <sz val="12"/>
        <rFont val="Aptos"/>
        <family val="2"/>
      </rPr>
      <t>: Must be auto-priced in EGW/GDS/EOL; if not pricing, fare is not eligible. </t>
    </r>
  </si>
  <si>
    <r>
      <t>Sales Restrictions</t>
    </r>
    <r>
      <rPr>
        <sz val="12"/>
        <rFont val="Aptos"/>
        <family val="2"/>
      </rPr>
      <t>: Only on EK176 stock. </t>
    </r>
  </si>
  <si>
    <t>Baggage Allowance </t>
  </si>
  <si>
    <r>
      <t>Through International Sector</t>
    </r>
    <r>
      <rPr>
        <sz val="12"/>
        <rFont val="Aptos"/>
        <family val="2"/>
      </rPr>
      <t>: EK baggage allowance applies if no stopover. </t>
    </r>
  </si>
  <si>
    <r>
      <t>Pass Sectors within Asia</t>
    </r>
    <r>
      <rPr>
        <sz val="12"/>
        <rFont val="Aptos"/>
        <family val="2"/>
      </rPr>
      <t>: Operating carrier’s baggage allowance may apply. </t>
    </r>
  </si>
  <si>
    <t>Baggage Allowance will be indicated in the fare quote and on the E-Ticket.</t>
  </si>
  <si>
    <t>Flight Application </t>
  </si>
  <si>
    <r>
      <t xml:space="preserve">Operated by </t>
    </r>
    <r>
      <rPr>
        <b/>
        <sz val="12"/>
        <rFont val="Aptos"/>
        <family val="2"/>
      </rPr>
      <t>EK</t>
    </r>
    <r>
      <rPr>
        <sz val="12"/>
        <rFont val="Aptos"/>
        <family val="2"/>
      </rPr>
      <t xml:space="preserve">, </t>
    </r>
    <r>
      <rPr>
        <b/>
        <sz val="12"/>
        <rFont val="Aptos"/>
        <family val="2"/>
      </rPr>
      <t>OD</t>
    </r>
    <r>
      <rPr>
        <sz val="12"/>
        <rFont val="Aptos"/>
        <family val="2"/>
      </rPr>
      <t xml:space="preserve">, or </t>
    </r>
    <r>
      <rPr>
        <b/>
        <sz val="12"/>
        <rFont val="Aptos"/>
        <family val="2"/>
      </rPr>
      <t>PG</t>
    </r>
    <r>
      <rPr>
        <sz val="12"/>
        <rFont val="Aptos"/>
        <family val="2"/>
      </rPr>
      <t>. </t>
    </r>
  </si>
  <si>
    <r>
      <t>Minimum 1 to Maximum 10 sectors</t>
    </r>
    <r>
      <rPr>
        <sz val="12"/>
        <rFont val="Aptos"/>
        <family val="2"/>
      </rPr>
      <t xml:space="preserve"> allowed in a ticket</t>
    </r>
  </si>
  <si>
    <t>Stay &amp; Ticketing </t>
  </si>
  <si>
    <r>
      <t>Min/Max Stay</t>
    </r>
    <r>
      <rPr>
        <sz val="12"/>
        <rFont val="Aptos"/>
        <family val="2"/>
      </rPr>
      <t>: As per EK international fare. </t>
    </r>
  </si>
  <si>
    <r>
      <t>Ticket Time Limits</t>
    </r>
    <r>
      <rPr>
        <sz val="12"/>
        <rFont val="Aptos"/>
        <family val="2"/>
      </rPr>
      <t>: Auto TTL stamped on PNR. </t>
    </r>
  </si>
  <si>
    <r>
      <t>Not valid for group bookings</t>
    </r>
    <r>
      <rPr>
        <sz val="12"/>
        <rFont val="Aptos"/>
        <family val="2"/>
      </rPr>
      <t>. </t>
    </r>
  </si>
  <si>
    <t>Child/Infant Discounts </t>
  </si>
  <si>
    <r>
      <t>Child/Infant with seat</t>
    </r>
    <r>
      <rPr>
        <sz val="12"/>
        <rFont val="Aptos"/>
        <family val="2"/>
      </rPr>
      <t>: No discount. </t>
    </r>
  </si>
  <si>
    <r>
      <t>Infant without seat</t>
    </r>
    <r>
      <rPr>
        <sz val="12"/>
        <rFont val="Aptos"/>
        <family val="2"/>
      </rPr>
      <t>: Pays 10% of adult fare. </t>
    </r>
  </si>
  <si>
    <t>Fare Classes to be booked in EK Marketed flights</t>
  </si>
  <si>
    <r>
      <t>RBDs</t>
    </r>
    <r>
      <rPr>
        <sz val="12"/>
        <rFont val="Aptos"/>
        <family val="2"/>
      </rPr>
      <t>: Q, U, B, X </t>
    </r>
  </si>
  <si>
    <r>
      <t>Fare Basis Codes</t>
    </r>
    <r>
      <rPr>
        <sz val="12"/>
        <rFont val="Aptos"/>
        <family val="2"/>
      </rPr>
      <t>: QASPPFE1, UASPSFE1, BASPSFE1, XASPFFE1 </t>
    </r>
  </si>
  <si>
    <r>
      <t>Emirates Asia Pass – Frequently Asked Questions (FAQs)</t>
    </r>
    <r>
      <rPr>
        <sz val="15.5"/>
        <color rgb="FFC00000"/>
        <rFont val="Segoe UI"/>
        <family val="2"/>
      </rPr>
      <t> </t>
    </r>
  </si>
  <si>
    <r>
      <t>1. What is the Emirates Asia Pass?</t>
    </r>
    <r>
      <rPr>
        <sz val="12"/>
        <color rgb="FFC00000"/>
        <rFont val="Segoe UI"/>
        <family val="2"/>
      </rPr>
      <t> </t>
    </r>
  </si>
  <si>
    <t>The Asia Pass is a travel solution designed to simplify and enhance travel across multiple destinations in South East Asia. It allows passengers to book multiple regional flights under one booking.</t>
  </si>
  <si>
    <r>
      <t>2. Which destinations are included?</t>
    </r>
    <r>
      <rPr>
        <sz val="12"/>
        <color rgb="FFC00000"/>
        <rFont val="Segoe UI"/>
        <family val="2"/>
      </rPr>
      <t> </t>
    </r>
  </si>
  <si>
    <t>The pass covers a curated network of cities including: </t>
  </si>
  <si>
    <t xml:space="preserve"> Bangkok, Danang, Denpasar, Singapore, Kuala Lumpur, Phuket, Chiang Mai, Ko Samui, Siam Reap and more. </t>
  </si>
  <si>
    <r>
      <t>3. Who can use the Asia Pass?</t>
    </r>
    <r>
      <rPr>
        <sz val="12"/>
        <color rgb="FFC00000"/>
        <rFont val="Segoe UI"/>
        <family val="2"/>
      </rPr>
      <t> </t>
    </r>
  </si>
  <si>
    <t>It is available to commercial passengers traveling on Emirates international fares to Cambodia, Indonesia, Malaysia, Singapore, Thailand, or Vietnam. </t>
  </si>
  <si>
    <r>
      <t>4. Can the Asia Pass be sold for travel originating from the Far East?</t>
    </r>
    <r>
      <rPr>
        <sz val="12"/>
        <color rgb="FFC00000"/>
        <rFont val="Segoe UI"/>
        <family val="2"/>
      </rPr>
      <t> </t>
    </r>
  </si>
  <si>
    <t>No. The Asia pass can only be sold for travel into South East Asia.</t>
  </si>
  <si>
    <r>
      <t>5. How many sectors can be booked with the pass?</t>
    </r>
    <r>
      <rPr>
        <sz val="12"/>
        <color rgb="FFC00000"/>
        <rFont val="Segoe UI"/>
        <family val="2"/>
      </rPr>
      <t> </t>
    </r>
  </si>
  <si>
    <t>You can book a minimum of 1 to a maximum of 10 sectors within South East Asia. Some GDS may have limitations on the number of sectors that can be booked and ticketed in a single transaction.</t>
  </si>
  <si>
    <r>
      <t>6. Can I combine the Asia Pass with other Emirates fares?</t>
    </r>
    <r>
      <rPr>
        <sz val="12"/>
        <color rgb="FFC00000"/>
        <rFont val="Segoe UI"/>
        <family val="2"/>
      </rPr>
      <t> </t>
    </r>
  </si>
  <si>
    <t>The Asia Pass must be combined with Emirates international commercial fares in any cabin. Corporate fares, industry discounted tickets, Skywards redemption, Group bookings are not permitted.</t>
  </si>
  <si>
    <r>
      <t>7. Can I issue the Asia Pass as a standalone ticket?</t>
    </r>
    <r>
      <rPr>
        <sz val="12"/>
        <color rgb="FFC00000"/>
        <rFont val="Segoe UI"/>
        <family val="2"/>
      </rPr>
      <t> </t>
    </r>
  </si>
  <si>
    <t>No. The Asia Pass cannot be sold as a standalone itinerary.</t>
  </si>
  <si>
    <r>
      <t>8. Can the Asia Pass be booked on OAL prime flights?</t>
    </r>
    <r>
      <rPr>
        <sz val="12"/>
        <color rgb="FFC00000"/>
        <rFont val="Segoe UI"/>
        <family val="2"/>
      </rPr>
      <t> </t>
    </r>
  </si>
  <si>
    <t>No. The Asia Pass can only be booked on EK marketed and/or operated flights within the sectors covered in the pass.</t>
  </si>
  <si>
    <r>
      <t>9. What are the change and cancellation fees?</t>
    </r>
    <r>
      <rPr>
        <sz val="12"/>
        <color rgb="FFC00000"/>
        <rFont val="Segoe UI"/>
        <family val="2"/>
      </rPr>
      <t> </t>
    </r>
  </si>
  <si>
    <r>
      <t>Changes</t>
    </r>
    <r>
      <rPr>
        <sz val="10.5"/>
        <rFont val="Segoe UI"/>
        <family val="2"/>
      </rPr>
      <t>: USD 15 per transaction. </t>
    </r>
  </si>
  <si>
    <r>
      <t>Cancellations</t>
    </r>
    <r>
      <rPr>
        <sz val="10.5"/>
        <rFont val="Segoe UI"/>
        <family val="2"/>
      </rPr>
      <t>: USD 50 per pass sector. </t>
    </r>
  </si>
  <si>
    <r>
      <t>No-show</t>
    </r>
    <r>
      <rPr>
        <sz val="10.5"/>
        <rFont val="Segoe UI"/>
        <family val="2"/>
      </rPr>
      <t>: No changes or refunds allowed. Subsequent sectors will be cancelled and rebooking will incur ADC + no-show fees of the international ticket. </t>
    </r>
  </si>
  <si>
    <r>
      <t>10. What is the baggage allowance?</t>
    </r>
    <r>
      <rPr>
        <sz val="12"/>
        <color rgb="FFC00000"/>
        <rFont val="Segoe UI"/>
        <family val="2"/>
      </rPr>
      <t> </t>
    </r>
  </si>
  <si>
    <t>For the first international sector, Emirates baggage allowance applies (if no stopover). </t>
  </si>
  <si>
    <t>For Asia Pass sectors, the operating carrier’s baggage allowance may apply.</t>
  </si>
  <si>
    <r>
      <t>11. Are child or infant discounts available?</t>
    </r>
    <r>
      <rPr>
        <sz val="12"/>
        <color rgb="FFC00000"/>
        <rFont val="Segoe UI"/>
        <family val="2"/>
      </rPr>
      <t> </t>
    </r>
  </si>
  <si>
    <r>
      <t>Children and infants occupying a seat</t>
    </r>
    <r>
      <rPr>
        <sz val="10.5"/>
        <rFont val="Segoe UI"/>
        <family val="2"/>
      </rPr>
      <t>: No discount. </t>
    </r>
  </si>
  <si>
    <r>
      <t>Infants not occupying a seat</t>
    </r>
    <r>
      <rPr>
        <sz val="10.5"/>
        <rFont val="Segoe UI"/>
        <family val="2"/>
      </rPr>
      <t>: Pay 10% of the adult Asia Pass fare. </t>
    </r>
  </si>
  <si>
    <r>
      <t>12. Can I book the Asia Pass for a group?</t>
    </r>
    <r>
      <rPr>
        <sz val="12"/>
        <color rgb="FFC00000"/>
        <rFont val="Segoe UI"/>
        <family val="2"/>
      </rPr>
      <t> </t>
    </r>
  </si>
  <si>
    <t>No. The Asia Pass is not valid for group bookings. </t>
  </si>
  <si>
    <r>
      <t>13. Are there any minimum or maximum stay requirements on the Asia Pass?</t>
    </r>
    <r>
      <rPr>
        <sz val="12"/>
        <color rgb="FFC00000"/>
        <rFont val="Segoe UI"/>
        <family val="2"/>
      </rPr>
      <t> </t>
    </r>
  </si>
  <si>
    <t>There are no minimum or maximum stay requirements on the Asia Pass, provided that all travel under the Asia Pass is completed before the travel from the international turnaround point begins.</t>
  </si>
  <si>
    <r>
      <t>14. Are Asia Pass fares eligible for agency commission?</t>
    </r>
    <r>
      <rPr>
        <sz val="12"/>
        <color rgb="FFC00000"/>
        <rFont val="Segoe UI"/>
        <family val="2"/>
      </rPr>
      <t> </t>
    </r>
  </si>
  <si>
    <t>Agency commission is paid in accordance with the commission rules applicable to the international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</si>
</sst>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0"/>
      <color rgb="FF000000"/>
      <name val="Aptos Narrow"/>
      <family val="2"/>
      <scheme val="minor"/>
    </font>
    <font>
      <sz val="10"/>
      <color rgb="FF000000"/>
      <name val="Aptos Narrow"/>
      <family val="2"/>
      <scheme val="minor"/>
    </font>
    <font>
      <sz val="10"/>
      <color theme="1"/>
      <name val="Aptos Narrow"/>
      <family val="2"/>
      <scheme val="minor"/>
    </font>
    <font>
      <b/>
      <sz val="10"/>
      <color theme="1"/>
      <name val="Aptos Narrow"/>
      <family val="2"/>
      <scheme val="minor"/>
    </font>
    <font>
      <sz val="10"/>
      <color rgb="FF000000"/>
      <name val="Calibri"/>
      <family val="2"/>
    </font>
    <font>
      <b/>
      <sz val="10"/>
      <name val="Calibri"/>
      <family val="2"/>
    </font>
    <font>
      <b/>
      <sz val="10"/>
      <color rgb="FF000000"/>
      <name val="Calibri"/>
      <family val="2"/>
    </font>
    <font>
      <i/>
      <sz val="10"/>
      <color rgb="FF000000"/>
      <name val="Calibri"/>
      <family val="2"/>
    </font>
    <font>
      <i/>
      <sz val="11"/>
      <color theme="1"/>
      <name val="Aptos Narrow"/>
      <family val="2"/>
      <scheme val="minor"/>
    </font>
    <font>
      <sz val="8"/>
      <name val="Aptos Narrow"/>
      <family val="2"/>
      <scheme val="minor"/>
    </font>
    <font>
      <sz val="11"/>
      <color rgb="FFFF0000"/>
      <name val="Aptos Narrow"/>
      <family val="2"/>
      <scheme val="minor"/>
    </font>
    <font>
      <sz val="11"/>
      <color rgb="FF212529"/>
      <name val="PGFontWebThin"/>
    </font>
    <font>
      <b/>
      <sz val="11"/>
      <color rgb="FF000000"/>
      <name val="PGFontWebThin"/>
    </font>
    <font>
      <sz val="11"/>
      <color rgb="FF000000"/>
      <name val="PGFontWebThin"/>
    </font>
    <font>
      <b/>
      <sz val="11"/>
      <color theme="0"/>
      <name val="PGFontWebThin"/>
    </font>
    <font>
      <sz val="12"/>
      <color rgb="FF1A1A1A"/>
      <name val="Aptos Display"/>
      <family val="2"/>
      <scheme val="major"/>
    </font>
    <font>
      <sz val="11"/>
      <color theme="1"/>
      <name val="Aptos Display"/>
      <family val="2"/>
      <scheme val="major"/>
    </font>
    <font>
      <b/>
      <sz val="11"/>
      <color theme="1"/>
      <name val="Aptos Display"/>
      <family val="2"/>
      <scheme val="major"/>
    </font>
    <font>
      <sz val="11"/>
      <color theme="1"/>
      <name val="Aptos Narrow"/>
      <family val="2"/>
      <scheme val="minor"/>
    </font>
    <font>
      <sz val="10"/>
      <name val="Arial"/>
      <family val="2"/>
    </font>
    <font>
      <b/>
      <sz val="11"/>
      <color rgb="FF000000"/>
      <name val="Calibri"/>
      <family val="2"/>
    </font>
    <font>
      <sz val="11"/>
      <color theme="1"/>
      <name val="Angsana New"/>
      <family val="1"/>
      <charset val="222"/>
    </font>
    <font>
      <sz val="11"/>
      <color theme="1"/>
      <name val="Calibri"/>
      <family val="2"/>
    </font>
    <font>
      <b/>
      <sz val="11"/>
      <color rgb="FFFF0000"/>
      <name val="Calibri"/>
      <family val="2"/>
    </font>
    <font>
      <sz val="10"/>
      <color rgb="FF000000"/>
      <name val="Arial"/>
      <family val="2"/>
    </font>
    <font>
      <sz val="12"/>
      <name val="Aptos"/>
      <family val="2"/>
    </font>
    <font>
      <b/>
      <sz val="12"/>
      <name val="Aptos"/>
      <family val="2"/>
    </font>
    <font>
      <sz val="10.5"/>
      <name val="Segoe UI"/>
      <family val="2"/>
    </font>
    <font>
      <b/>
      <sz val="10.5"/>
      <name val="Segoe UI"/>
      <family val="2"/>
    </font>
    <font>
      <b/>
      <sz val="15.5"/>
      <color rgb="FFC00000"/>
      <name val="Segoe UI"/>
      <family val="2"/>
    </font>
    <font>
      <sz val="15.5"/>
      <color rgb="FFC00000"/>
      <name val="Segoe UI"/>
      <family val="2"/>
    </font>
    <font>
      <b/>
      <sz val="12"/>
      <color rgb="FFC00000"/>
      <name val="Segoe UI"/>
      <family val="2"/>
    </font>
    <font>
      <sz val="12"/>
      <color rgb="FFC00000"/>
      <name val="Segoe UI"/>
      <family val="2"/>
    </font>
    <font>
      <b/>
      <sz val="14"/>
      <color rgb="FFC00000"/>
      <name val="Aptos"/>
      <family val="2"/>
    </font>
    <font>
      <sz val="30"/>
      <color rgb="FFC00000"/>
      <name val="EK03Plain-B01"/>
    </font>
  </fonts>
  <fills count="16">
    <fill>
      <patternFill patternType="none"/>
    </fill>
    <fill>
      <patternFill patternType="gray125"/>
    </fill>
    <fill>
      <patternFill patternType="solid">
        <fgColor theme="0"/>
        <bgColor indexed="64"/>
      </patternFill>
    </fill>
    <fill>
      <patternFill patternType="solid">
        <fgColor rgb="FF595959"/>
        <bgColor rgb="FF000000"/>
      </patternFill>
    </fill>
    <fill>
      <patternFill patternType="solid">
        <fgColor rgb="FFFFFFFF"/>
        <bgColor rgb="FF000000"/>
      </patternFill>
    </fill>
    <fill>
      <patternFill patternType="solid">
        <fgColor rgb="FFFFFF00"/>
        <bgColor indexed="64"/>
      </patternFill>
    </fill>
    <fill>
      <patternFill patternType="solid">
        <fgColor theme="3" tint="0.89999084444715716"/>
        <bgColor indexed="64"/>
      </patternFill>
    </fill>
    <fill>
      <patternFill patternType="solid">
        <fgColor rgb="FF1C3F94"/>
        <bgColor indexed="64"/>
      </patternFill>
    </fill>
    <fill>
      <patternFill patternType="solid">
        <fgColor rgb="FF4484BD"/>
        <bgColor indexed="64"/>
      </patternFill>
    </fill>
    <fill>
      <patternFill patternType="solid">
        <fgColor rgb="FFFFFFFF"/>
        <bgColor indexed="64"/>
      </patternFill>
    </fill>
    <fill>
      <patternFill patternType="solid">
        <fgColor theme="5" tint="0.79998168889431442"/>
        <bgColor indexed="64"/>
      </patternFill>
    </fill>
    <fill>
      <patternFill patternType="solid">
        <fgColor rgb="FFBFBFBF"/>
        <bgColor indexed="64"/>
      </patternFill>
    </fill>
    <fill>
      <patternFill patternType="solid">
        <fgColor rgb="FFD9D9D9"/>
        <bgColor indexed="64"/>
      </patternFill>
    </fill>
    <fill>
      <patternFill patternType="solid">
        <fgColor rgb="FFDCE6F1"/>
        <bgColor indexed="64"/>
      </patternFill>
    </fill>
    <fill>
      <patternFill patternType="solid">
        <fgColor rgb="FFD9E1F2"/>
        <bgColor indexed="64"/>
      </patternFill>
    </fill>
    <fill>
      <patternFill patternType="solid">
        <fgColor theme="2" tint="-9.9978637043366805E-2"/>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
      <left/>
      <right/>
      <top/>
      <bottom style="medium">
        <color rgb="FF000000"/>
      </bottom>
      <diagonal/>
    </border>
    <border>
      <left style="thin">
        <color rgb="FFDEE2E6"/>
      </left>
      <right/>
      <top style="thin">
        <color rgb="FFDEE2E6"/>
      </top>
      <bottom/>
      <diagonal/>
    </border>
    <border>
      <left/>
      <right/>
      <top style="thin">
        <color rgb="FFDEE2E6"/>
      </top>
      <bottom/>
      <diagonal/>
    </border>
    <border>
      <left/>
      <right style="thin">
        <color rgb="FFDEE2E6"/>
      </right>
      <top style="thin">
        <color rgb="FFDEE2E6"/>
      </top>
      <bottom/>
      <diagonal/>
    </border>
    <border>
      <left style="thin">
        <color rgb="FFDEE2E6"/>
      </left>
      <right/>
      <top/>
      <bottom style="medium">
        <color rgb="FF000000"/>
      </bottom>
      <diagonal/>
    </border>
    <border>
      <left/>
      <right style="thin">
        <color rgb="FFDEE2E6"/>
      </right>
      <top/>
      <bottom style="medium">
        <color rgb="FF000000"/>
      </bottom>
      <diagonal/>
    </border>
    <border>
      <left style="thin">
        <color rgb="FFDEE2E6"/>
      </left>
      <right/>
      <top/>
      <bottom/>
      <diagonal/>
    </border>
    <border>
      <left/>
      <right style="thin">
        <color rgb="FFDEE2E6"/>
      </right>
      <top/>
      <bottom/>
      <diagonal/>
    </border>
    <border>
      <left style="thin">
        <color rgb="FFDEE2E6"/>
      </left>
      <right/>
      <top style="medium">
        <color rgb="FF000000"/>
      </top>
      <bottom/>
      <diagonal/>
    </border>
    <border>
      <left/>
      <right/>
      <top style="medium">
        <color rgb="FF000000"/>
      </top>
      <bottom style="medium">
        <color rgb="FF000000"/>
      </bottom>
      <diagonal/>
    </border>
    <border>
      <left/>
      <right style="thin">
        <color rgb="FFDEE2E6"/>
      </right>
      <top style="medium">
        <color rgb="FF000000"/>
      </top>
      <bottom style="medium">
        <color rgb="FF000000"/>
      </bottom>
      <diagonal/>
    </border>
    <border>
      <left/>
      <right/>
      <top style="medium">
        <color rgb="FF000000"/>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diagonal/>
    </border>
    <border>
      <left/>
      <right style="thin">
        <color indexed="64"/>
      </right>
      <top style="medium">
        <color rgb="FF000000"/>
      </top>
      <bottom style="medium">
        <color rgb="FF000000"/>
      </bottom>
      <diagonal/>
    </border>
    <border>
      <left style="thin">
        <color indexed="64"/>
      </left>
      <right/>
      <top/>
      <bottom/>
      <diagonal/>
    </border>
    <border>
      <left/>
      <right style="thin">
        <color indexed="64"/>
      </right>
      <top/>
      <bottom/>
      <diagonal/>
    </border>
    <border>
      <left/>
      <right style="thin">
        <color indexed="64"/>
      </right>
      <top/>
      <bottom style="medium">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000000"/>
      </top>
      <bottom style="thin">
        <color rgb="FF000000"/>
      </bottom>
      <diagonal/>
    </border>
    <border>
      <left/>
      <right style="thin">
        <color indexed="64"/>
      </right>
      <top style="medium">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DEE2E6"/>
      </right>
      <top style="medium">
        <color rgb="FF000000"/>
      </top>
      <bottom style="thin">
        <color rgb="FF000000"/>
      </bottom>
      <diagonal/>
    </border>
    <border>
      <left/>
      <right style="thin">
        <color rgb="FFDEE2E6"/>
      </right>
      <top style="thin">
        <color rgb="FF000000"/>
      </top>
      <bottom style="thin">
        <color rgb="FF000000"/>
      </bottom>
      <diagonal/>
    </border>
    <border>
      <left/>
      <right/>
      <top style="thin">
        <color rgb="FF000000"/>
      </top>
      <bottom style="medium">
        <color rgb="FF000000"/>
      </bottom>
      <diagonal/>
    </border>
    <border>
      <left/>
      <right style="thin">
        <color rgb="FFDEE2E6"/>
      </right>
      <top style="thin">
        <color rgb="FF000000"/>
      </top>
      <bottom style="medium">
        <color rgb="FF000000"/>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ck">
        <color rgb="FF000000"/>
      </top>
      <bottom/>
      <diagonal/>
    </border>
  </borders>
  <cellStyleXfs count="4">
    <xf numFmtId="0" fontId="0" fillId="0" borderId="0"/>
    <xf numFmtId="0" fontId="19" fillId="0" borderId="0"/>
    <xf numFmtId="0" fontId="20" fillId="0" borderId="0"/>
    <xf numFmtId="0" fontId="25" fillId="0" borderId="0"/>
  </cellStyleXfs>
  <cellXfs count="124">
    <xf numFmtId="0" fontId="0" fillId="0" borderId="0" xfId="0"/>
    <xf numFmtId="0" fontId="3" fillId="2" borderId="0" xfId="0" applyFont="1" applyFill="1" applyAlignment="1">
      <alignment wrapText="1"/>
    </xf>
    <xf numFmtId="0" fontId="3" fillId="2" borderId="0" xfId="0" applyFont="1" applyFill="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15" fontId="2" fillId="2" borderId="1" xfId="0" applyNumberFormat="1" applyFont="1" applyFill="1" applyBorder="1" applyAlignment="1">
      <alignment horizontal="center" vertical="center"/>
    </xf>
    <xf numFmtId="0" fontId="3" fillId="2" borderId="0" xfId="0" applyFont="1" applyFill="1" applyAlignment="1">
      <alignment vertical="center"/>
    </xf>
    <xf numFmtId="0" fontId="4" fillId="2" borderId="1" xfId="0" applyFont="1" applyFill="1" applyBorder="1" applyAlignment="1">
      <alignment horizontal="center" vertical="center" wrapText="1"/>
    </xf>
    <xf numFmtId="0" fontId="0" fillId="0" borderId="0" xfId="0" applyAlignment="1">
      <alignment horizontal="center"/>
    </xf>
    <xf numFmtId="0" fontId="5"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4" xfId="0" applyFont="1" applyFill="1" applyBorder="1" applyAlignment="1">
      <alignment horizontal="center" vertical="center" wrapText="1"/>
    </xf>
    <xf numFmtId="1" fontId="5" fillId="0" borderId="2" xfId="0" applyNumberFormat="1" applyFont="1" applyBorder="1" applyAlignment="1">
      <alignment horizontal="center" vertical="center"/>
    </xf>
    <xf numFmtId="0" fontId="8" fillId="0" borderId="2" xfId="0" applyFont="1" applyBorder="1" applyAlignment="1">
      <alignment horizontal="center" vertical="center"/>
    </xf>
    <xf numFmtId="0" fontId="9" fillId="0" borderId="0" xfId="0" applyFont="1"/>
    <xf numFmtId="0" fontId="0" fillId="0" borderId="0" xfId="0" pivotButton="1"/>
    <xf numFmtId="3" fontId="0" fillId="0" borderId="0" xfId="0" applyNumberFormat="1"/>
    <xf numFmtId="0" fontId="0" fillId="0" borderId="0" xfId="0" applyAlignment="1">
      <alignment horizontal="center" vertical="center"/>
    </xf>
    <xf numFmtId="3" fontId="0" fillId="0" borderId="0" xfId="0" applyNumberFormat="1" applyAlignment="1">
      <alignment horizontal="center" vertical="center"/>
    </xf>
    <xf numFmtId="0" fontId="0" fillId="5" borderId="0" xfId="0" applyFill="1"/>
    <xf numFmtId="0" fontId="12" fillId="0" borderId="0" xfId="0" applyFont="1" applyAlignment="1">
      <alignment vertical="center"/>
    </xf>
    <xf numFmtId="0" fontId="13" fillId="9" borderId="0" xfId="0" applyFont="1" applyFill="1" applyAlignment="1">
      <alignment horizontal="center" vertical="center"/>
    </xf>
    <xf numFmtId="0" fontId="13" fillId="9" borderId="13" xfId="0" applyFont="1" applyFill="1" applyBorder="1" applyAlignment="1">
      <alignment horizontal="center" vertical="center"/>
    </xf>
    <xf numFmtId="0" fontId="13" fillId="9" borderId="6" xfId="0" applyFont="1" applyFill="1" applyBorder="1" applyAlignment="1">
      <alignment horizontal="center" vertical="center"/>
    </xf>
    <xf numFmtId="0" fontId="13" fillId="9" borderId="11" xfId="0" applyFont="1" applyFill="1" applyBorder="1" applyAlignment="1">
      <alignment horizontal="center" vertical="center"/>
    </xf>
    <xf numFmtId="0" fontId="14" fillId="9" borderId="6" xfId="0" applyFont="1" applyFill="1" applyBorder="1" applyAlignment="1">
      <alignment horizontal="center" vertical="center"/>
    </xf>
    <xf numFmtId="0" fontId="14" fillId="9" borderId="11" xfId="0" applyFont="1" applyFill="1" applyBorder="1" applyAlignment="1">
      <alignment horizontal="center" vertical="center"/>
    </xf>
    <xf numFmtId="0" fontId="16" fillId="0" borderId="0" xfId="0" applyFont="1" applyAlignment="1">
      <alignment vertical="center"/>
    </xf>
    <xf numFmtId="0" fontId="17" fillId="0" borderId="0" xfId="0" applyFont="1"/>
    <xf numFmtId="0" fontId="16" fillId="0" borderId="0" xfId="0" applyFont="1" applyAlignment="1">
      <alignment horizontal="left" vertical="center"/>
    </xf>
    <xf numFmtId="0" fontId="18" fillId="0" borderId="0" xfId="0" applyFont="1"/>
    <xf numFmtId="0" fontId="13" fillId="9" borderId="24" xfId="0" applyFont="1" applyFill="1" applyBorder="1" applyAlignment="1">
      <alignment horizontal="center" vertical="center"/>
    </xf>
    <xf numFmtId="0" fontId="13" fillId="9" borderId="25" xfId="0" applyFont="1" applyFill="1" applyBorder="1" applyAlignment="1">
      <alignment horizontal="center" vertical="center"/>
    </xf>
    <xf numFmtId="0" fontId="14" fillId="9" borderId="25" xfId="0" applyFont="1" applyFill="1" applyBorder="1" applyAlignment="1">
      <alignment horizontal="center" vertical="center"/>
    </xf>
    <xf numFmtId="0" fontId="0" fillId="6" borderId="0" xfId="0" applyFill="1"/>
    <xf numFmtId="0" fontId="0" fillId="10" borderId="0" xfId="0" applyFill="1"/>
    <xf numFmtId="0" fontId="23" fillId="0" borderId="40" xfId="0" applyFont="1" applyBorder="1" applyAlignment="1">
      <alignment vertical="center"/>
    </xf>
    <xf numFmtId="0" fontId="21" fillId="14" borderId="42" xfId="0" applyFont="1" applyFill="1" applyBorder="1" applyAlignment="1">
      <alignment vertical="center"/>
    </xf>
    <xf numFmtId="0" fontId="21" fillId="14" borderId="43" xfId="0" applyFont="1" applyFill="1" applyBorder="1" applyAlignment="1">
      <alignment vertical="center"/>
    </xf>
    <xf numFmtId="0" fontId="21" fillId="14" borderId="40" xfId="0" applyFont="1" applyFill="1" applyBorder="1" applyAlignment="1">
      <alignment vertical="center"/>
    </xf>
    <xf numFmtId="0" fontId="23" fillId="0" borderId="43" xfId="0" applyFont="1" applyBorder="1" applyAlignment="1">
      <alignment vertical="center"/>
    </xf>
    <xf numFmtId="3" fontId="23" fillId="0" borderId="40" xfId="0" applyNumberFormat="1" applyFont="1" applyBorder="1" applyAlignment="1">
      <alignment vertical="center"/>
    </xf>
    <xf numFmtId="0" fontId="21" fillId="12" borderId="41" xfId="0" applyFont="1" applyFill="1" applyBorder="1" applyAlignment="1">
      <alignment vertical="center" wrapText="1"/>
    </xf>
    <xf numFmtId="0" fontId="21" fillId="13" borderId="41" xfId="0" applyFont="1" applyFill="1" applyBorder="1" applyAlignment="1">
      <alignment horizontal="center" vertical="center" wrapText="1"/>
    </xf>
    <xf numFmtId="0" fontId="24" fillId="10" borderId="41" xfId="0" applyFont="1" applyFill="1" applyBorder="1" applyAlignment="1">
      <alignment horizontal="center" vertical="center" wrapText="1"/>
    </xf>
    <xf numFmtId="0" fontId="21" fillId="10" borderId="41" xfId="0" applyFont="1" applyFill="1" applyBorder="1" applyAlignment="1">
      <alignment horizontal="center" vertical="center" wrapText="1"/>
    </xf>
    <xf numFmtId="0" fontId="21" fillId="12" borderId="41" xfId="0" applyFont="1" applyFill="1" applyBorder="1" applyAlignment="1">
      <alignment vertical="center"/>
    </xf>
    <xf numFmtId="0" fontId="22" fillId="0" borderId="41" xfId="0" applyFont="1" applyBorder="1" applyAlignment="1">
      <alignment vertical="center"/>
    </xf>
    <xf numFmtId="0" fontId="23" fillId="0" borderId="41" xfId="0" applyFont="1" applyBorder="1" applyAlignment="1">
      <alignment vertical="center"/>
    </xf>
    <xf numFmtId="0" fontId="21" fillId="13" borderId="41" xfId="0" applyFont="1" applyFill="1" applyBorder="1" applyAlignment="1">
      <alignment vertical="center" wrapText="1"/>
    </xf>
    <xf numFmtId="0" fontId="21" fillId="14" borderId="40" xfId="0" applyFont="1" applyFill="1" applyBorder="1" applyAlignment="1">
      <alignment horizontal="center" vertical="center"/>
    </xf>
    <xf numFmtId="0" fontId="24" fillId="14" borderId="43" xfId="0" applyFont="1" applyFill="1" applyBorder="1" applyAlignment="1">
      <alignment vertical="center"/>
    </xf>
    <xf numFmtId="0" fontId="24" fillId="14" borderId="40" xfId="0" applyFont="1" applyFill="1" applyBorder="1" applyAlignment="1">
      <alignment vertical="center"/>
    </xf>
    <xf numFmtId="0" fontId="24" fillId="14" borderId="40" xfId="0" applyFont="1" applyFill="1" applyBorder="1" applyAlignment="1">
      <alignment horizontal="center" vertical="center"/>
    </xf>
    <xf numFmtId="0" fontId="26" fillId="0" borderId="47" xfId="0" applyFont="1" applyBorder="1" applyAlignment="1">
      <alignment horizontal="left" vertical="center"/>
    </xf>
    <xf numFmtId="0" fontId="27" fillId="0" borderId="0" xfId="0" applyFont="1" applyAlignment="1">
      <alignment horizontal="left" vertical="center"/>
    </xf>
    <xf numFmtId="0" fontId="26" fillId="0" borderId="0" xfId="0" applyFont="1" applyAlignment="1">
      <alignment horizontal="left" vertical="center"/>
    </xf>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horizontal="left" vertical="center"/>
    </xf>
    <xf numFmtId="0" fontId="32" fillId="0" borderId="0" xfId="0" applyFont="1" applyAlignment="1">
      <alignment horizontal="left" vertical="center"/>
    </xf>
    <xf numFmtId="0" fontId="34" fillId="0" borderId="0" xfId="0" applyFont="1" applyAlignment="1">
      <alignment horizontal="left" vertical="center"/>
    </xf>
    <xf numFmtId="0" fontId="35" fillId="15" borderId="0" xfId="0" applyFont="1" applyFill="1" applyAlignment="1">
      <alignment horizontal="center" vertical="center"/>
    </xf>
    <xf numFmtId="0" fontId="0" fillId="0" borderId="0" xfId="0" applyAlignment="1">
      <alignment vertical="center"/>
    </xf>
    <xf numFmtId="0" fontId="27" fillId="0" borderId="0" xfId="0" applyFont="1" applyAlignment="1">
      <alignment horizontal="left" vertical="center" indent="1"/>
    </xf>
    <xf numFmtId="0" fontId="26" fillId="0" borderId="0" xfId="0" applyFont="1" applyAlignment="1">
      <alignment horizontal="left" vertical="center" indent="1"/>
    </xf>
    <xf numFmtId="0" fontId="6" fillId="4" borderId="5"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4" fillId="9" borderId="38" xfId="0" applyFont="1" applyFill="1" applyBorder="1" applyAlignment="1">
      <alignment vertical="center"/>
    </xf>
    <xf numFmtId="0" fontId="14" fillId="9" borderId="39" xfId="0" applyFont="1" applyFill="1" applyBorder="1" applyAlignment="1">
      <alignment vertical="center"/>
    </xf>
    <xf numFmtId="0" fontId="13" fillId="9" borderId="17" xfId="0" applyFont="1" applyFill="1" applyBorder="1" applyAlignment="1">
      <alignment horizontal="center" vertical="center"/>
    </xf>
    <xf numFmtId="0" fontId="13" fillId="9" borderId="6" xfId="0" applyFont="1" applyFill="1" applyBorder="1" applyAlignment="1">
      <alignment horizontal="center" vertical="center"/>
    </xf>
    <xf numFmtId="0" fontId="13" fillId="7" borderId="15" xfId="0" applyFont="1" applyFill="1" applyBorder="1" applyAlignment="1">
      <alignment horizontal="center" vertical="center"/>
    </xf>
    <xf numFmtId="0" fontId="13" fillId="7" borderId="16" xfId="0" applyFont="1" applyFill="1" applyBorder="1" applyAlignment="1">
      <alignment horizontal="center" vertical="center"/>
    </xf>
    <xf numFmtId="0" fontId="14" fillId="9" borderId="30" xfId="0" applyFont="1" applyFill="1" applyBorder="1" applyAlignment="1">
      <alignment vertical="center"/>
    </xf>
    <xf numFmtId="0" fontId="14" fillId="9" borderId="36" xfId="0" applyFont="1" applyFill="1" applyBorder="1" applyAlignment="1">
      <alignment vertical="center"/>
    </xf>
    <xf numFmtId="0" fontId="14" fillId="9" borderId="32" xfId="0" applyFont="1" applyFill="1" applyBorder="1" applyAlignment="1">
      <alignment vertical="center"/>
    </xf>
    <xf numFmtId="0" fontId="14" fillId="9" borderId="37" xfId="0" applyFont="1" applyFill="1" applyBorder="1" applyAlignment="1">
      <alignment vertical="center"/>
    </xf>
    <xf numFmtId="0" fontId="14" fillId="9" borderId="32" xfId="0" applyFont="1" applyFill="1" applyBorder="1" applyAlignment="1">
      <alignment horizontal="center" vertical="center"/>
    </xf>
    <xf numFmtId="0" fontId="14" fillId="9" borderId="37" xfId="0" applyFont="1" applyFill="1" applyBorder="1" applyAlignment="1">
      <alignment horizontal="center" vertical="center"/>
    </xf>
    <xf numFmtId="0" fontId="14" fillId="9" borderId="38" xfId="0" applyFont="1" applyFill="1" applyBorder="1" applyAlignment="1">
      <alignment horizontal="center" vertical="center"/>
    </xf>
    <xf numFmtId="0" fontId="14" fillId="9" borderId="39" xfId="0" applyFont="1" applyFill="1" applyBorder="1" applyAlignment="1">
      <alignment horizontal="center" vertical="center"/>
    </xf>
    <xf numFmtId="0" fontId="13" fillId="7" borderId="14" xfId="0" applyFont="1" applyFill="1" applyBorder="1" applyAlignment="1">
      <alignment horizontal="center" vertical="center"/>
    </xf>
    <xf numFmtId="0" fontId="13" fillId="7" borderId="12" xfId="0" applyFont="1" applyFill="1" applyBorder="1" applyAlignment="1">
      <alignment horizontal="center" vertical="center"/>
    </xf>
    <xf numFmtId="0" fontId="15" fillId="7" borderId="15" xfId="0" applyFont="1" applyFill="1" applyBorder="1" applyAlignment="1">
      <alignment horizontal="center" vertical="center"/>
    </xf>
    <xf numFmtId="0" fontId="15" fillId="7" borderId="16"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2" xfId="0" applyFont="1" applyFill="1" applyBorder="1" applyAlignment="1">
      <alignment horizontal="center" vertical="center"/>
    </xf>
    <xf numFmtId="0" fontId="13" fillId="8" borderId="10" xfId="0" applyFont="1" applyFill="1" applyBorder="1" applyAlignment="1">
      <alignment horizontal="center" vertical="center"/>
    </xf>
    <xf numFmtId="0" fontId="15" fillId="8" borderId="15" xfId="0" applyFont="1" applyFill="1" applyBorder="1" applyAlignment="1">
      <alignment horizontal="center" vertical="center"/>
    </xf>
    <xf numFmtId="0" fontId="15" fillId="8" borderId="16" xfId="0" applyFont="1" applyFill="1" applyBorder="1" applyAlignment="1">
      <alignment horizontal="center" vertical="center"/>
    </xf>
    <xf numFmtId="0" fontId="14" fillId="9" borderId="30" xfId="0" applyFont="1" applyFill="1" applyBorder="1" applyAlignment="1">
      <alignment horizontal="center" vertical="center"/>
    </xf>
    <xf numFmtId="0" fontId="14" fillId="9" borderId="36" xfId="0" applyFont="1" applyFill="1" applyBorder="1" applyAlignment="1">
      <alignment horizontal="center" vertical="center"/>
    </xf>
    <xf numFmtId="0" fontId="14" fillId="9" borderId="33" xfId="0" applyFont="1" applyFill="1" applyBorder="1" applyAlignment="1">
      <alignment horizontal="center" vertical="center"/>
    </xf>
    <xf numFmtId="0" fontId="14" fillId="9" borderId="34" xfId="0" applyFont="1" applyFill="1" applyBorder="1" applyAlignment="1">
      <alignment horizontal="center" vertical="center"/>
    </xf>
    <xf numFmtId="0" fontId="14" fillId="9" borderId="34" xfId="0" applyFont="1" applyFill="1" applyBorder="1" applyAlignment="1">
      <alignment vertical="center"/>
    </xf>
    <xf numFmtId="0" fontId="14" fillId="9" borderId="35" xfId="0" applyFont="1" applyFill="1" applyBorder="1" applyAlignment="1">
      <alignment vertical="center"/>
    </xf>
    <xf numFmtId="0" fontId="15" fillId="7" borderId="7"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11" xfId="0" applyFont="1" applyFill="1" applyBorder="1" applyAlignment="1">
      <alignment horizontal="center" vertical="center"/>
    </xf>
    <xf numFmtId="0" fontId="15" fillId="7" borderId="27" xfId="0" applyFont="1" applyFill="1" applyBorder="1" applyAlignment="1">
      <alignment horizontal="center" vertical="center"/>
    </xf>
    <xf numFmtId="0" fontId="15" fillId="7" borderId="28" xfId="0" applyFont="1" applyFill="1" applyBorder="1" applyAlignment="1">
      <alignment horizontal="center" vertical="center"/>
    </xf>
    <xf numFmtId="0" fontId="15" fillId="7" borderId="29" xfId="0" applyFont="1" applyFill="1" applyBorder="1" applyAlignment="1">
      <alignment horizontal="center" vertical="center"/>
    </xf>
    <xf numFmtId="0" fontId="15" fillId="7" borderId="18" xfId="0" applyFont="1" applyFill="1" applyBorder="1" applyAlignment="1">
      <alignment horizontal="center" vertical="center"/>
    </xf>
    <xf numFmtId="0" fontId="15" fillId="7" borderId="19" xfId="0" applyFont="1" applyFill="1" applyBorder="1" applyAlignment="1">
      <alignment horizontal="center" vertical="center"/>
    </xf>
    <xf numFmtId="0" fontId="15" fillId="7" borderId="20" xfId="0" applyFont="1" applyFill="1" applyBorder="1" applyAlignment="1">
      <alignment horizontal="center" vertical="center"/>
    </xf>
    <xf numFmtId="0" fontId="13" fillId="8" borderId="21" xfId="0" applyFont="1" applyFill="1" applyBorder="1" applyAlignment="1">
      <alignment horizontal="center" vertical="center"/>
    </xf>
    <xf numFmtId="0" fontId="13" fillId="8" borderId="23" xfId="0" applyFont="1" applyFill="1" applyBorder="1" applyAlignment="1">
      <alignment horizontal="center" vertical="center"/>
    </xf>
    <xf numFmtId="0" fontId="13" fillId="8" borderId="26" xfId="0" applyFont="1" applyFill="1" applyBorder="1" applyAlignment="1">
      <alignment horizontal="center" vertical="center"/>
    </xf>
    <xf numFmtId="0" fontId="15" fillId="8" borderId="22" xfId="0" applyFont="1" applyFill="1" applyBorder="1" applyAlignment="1">
      <alignment horizontal="center" vertical="center"/>
    </xf>
    <xf numFmtId="0" fontId="14" fillId="9" borderId="31" xfId="0" applyFont="1" applyFill="1" applyBorder="1" applyAlignment="1">
      <alignment horizontal="center" vertical="center"/>
    </xf>
    <xf numFmtId="0" fontId="21" fillId="14" borderId="46" xfId="0" applyFont="1" applyFill="1" applyBorder="1" applyAlignment="1">
      <alignment vertical="center"/>
    </xf>
    <xf numFmtId="0" fontId="21" fillId="14" borderId="45" xfId="0" applyFont="1" applyFill="1" applyBorder="1" applyAlignment="1">
      <alignment vertical="center"/>
    </xf>
    <xf numFmtId="0" fontId="21" fillId="14" borderId="44" xfId="0" applyFont="1" applyFill="1" applyBorder="1" applyAlignment="1">
      <alignment vertical="center"/>
    </xf>
    <xf numFmtId="0" fontId="21" fillId="11" borderId="41" xfId="0" applyFont="1" applyFill="1" applyBorder="1" applyAlignment="1">
      <alignment vertical="center" wrapText="1"/>
    </xf>
  </cellXfs>
  <cellStyles count="4">
    <cellStyle name="Normal" xfId="0" builtinId="0"/>
    <cellStyle name="Normal 2" xfId="2" xr:uid="{14CB13B6-5627-48E9-9CFC-39719F397FAA}"/>
    <cellStyle name="Normal 3" xfId="3" xr:uid="{A3D79BF2-3EE4-44BC-A299-6078EF93899E}"/>
    <cellStyle name="Normal 6" xfId="1" xr:uid="{544A43DC-95BA-4B89-B9E7-0E52F3705824}"/>
  </cellStyles>
  <dxfs count="0"/>
  <tableStyles count="0" defaultTableStyle="TableStyleMedium2" defaultPivotStyle="PivotStyleLight16"/>
  <colors>
    <mruColors>
      <color rgb="FF9E0B0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104774</xdr:colOff>
      <xdr:row>0</xdr:row>
      <xdr:rowOff>142875</xdr:rowOff>
    </xdr:from>
    <xdr:to>
      <xdr:col>6</xdr:col>
      <xdr:colOff>590549</xdr:colOff>
      <xdr:row>8</xdr:row>
      <xdr:rowOff>171450</xdr:rowOff>
    </xdr:to>
    <mc:AlternateContent xmlns:mc="http://schemas.openxmlformats.org/markup-compatibility/2006" xmlns:a14="http://schemas.microsoft.com/office/drawing/2010/main">
      <mc:Choice Requires="a14">
        <xdr:graphicFrame macro="">
          <xdr:nvGraphicFramePr>
            <xdr:cNvPr id="2" name="Country Name">
              <a:extLst>
                <a:ext uri="{FF2B5EF4-FFF2-40B4-BE49-F238E27FC236}">
                  <a16:creationId xmlns:a16="http://schemas.microsoft.com/office/drawing/2014/main" id="{8B42E591-9227-B7E9-73BE-166B081D611D}"/>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714374" y="142875"/>
              <a:ext cx="3819525" cy="1552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600074</xdr:colOff>
      <xdr:row>0</xdr:row>
      <xdr:rowOff>171450</xdr:rowOff>
    </xdr:from>
    <xdr:to>
      <xdr:col>12</xdr:col>
      <xdr:colOff>514349</xdr:colOff>
      <xdr:row>9</xdr:row>
      <xdr:rowOff>28575</xdr:rowOff>
    </xdr:to>
    <mc:AlternateContent xmlns:mc="http://schemas.openxmlformats.org/markup-compatibility/2006" xmlns:a14="http://schemas.microsoft.com/office/drawing/2010/main">
      <mc:Choice Requires="a14">
        <xdr:graphicFrame macro="">
          <xdr:nvGraphicFramePr>
            <xdr:cNvPr id="3" name="OAL">
              <a:extLst>
                <a:ext uri="{FF2B5EF4-FFF2-40B4-BE49-F238E27FC236}">
                  <a16:creationId xmlns:a16="http://schemas.microsoft.com/office/drawing/2014/main" id="{2BAAA101-FA16-BCCE-B95A-2E6CFE3E89F6}"/>
                </a:ext>
              </a:extLst>
            </xdr:cNvPr>
            <xdr:cNvGraphicFramePr/>
          </xdr:nvGraphicFramePr>
          <xdr:xfrm>
            <a:off x="0" y="0"/>
            <a:ext cx="0" cy="0"/>
          </xdr:xfrm>
          <a:graphic>
            <a:graphicData uri="http://schemas.microsoft.com/office/drawing/2010/slicer">
              <sle:slicer xmlns:sle="http://schemas.microsoft.com/office/drawing/2010/slicer" name="OAL"/>
            </a:graphicData>
          </a:graphic>
        </xdr:graphicFrame>
      </mc:Choice>
      <mc:Fallback xmlns="">
        <xdr:sp macro="" textlink="">
          <xdr:nvSpPr>
            <xdr:cNvPr id="0" name=""/>
            <xdr:cNvSpPr>
              <a:spLocks noTextEdit="1"/>
            </xdr:cNvSpPr>
          </xdr:nvSpPr>
          <xdr:spPr>
            <a:xfrm>
              <a:off x="4543424" y="171450"/>
              <a:ext cx="3571875" cy="1571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0</xdr:row>
      <xdr:rowOff>104775</xdr:rowOff>
    </xdr:from>
    <xdr:to>
      <xdr:col>12</xdr:col>
      <xdr:colOff>18196</xdr:colOff>
      <xdr:row>40</xdr:row>
      <xdr:rowOff>141906</xdr:rowOff>
    </xdr:to>
    <xdr:pic>
      <xdr:nvPicPr>
        <xdr:cNvPr id="2" name="Picture 1">
          <a:extLst>
            <a:ext uri="{FF2B5EF4-FFF2-40B4-BE49-F238E27FC236}">
              <a16:creationId xmlns:a16="http://schemas.microsoft.com/office/drawing/2014/main" id="{F8CA4990-57ED-48B4-EC52-A4CE96BB63C1}"/>
            </a:ext>
          </a:extLst>
        </xdr:cNvPr>
        <xdr:cNvPicPr>
          <a:picLocks noChangeAspect="1"/>
        </xdr:cNvPicPr>
      </xdr:nvPicPr>
      <xdr:blipFill>
        <a:blip xmlns:r="http://schemas.openxmlformats.org/officeDocument/2006/relationships" r:embed="rId1"/>
        <a:stretch>
          <a:fillRect/>
        </a:stretch>
      </xdr:blipFill>
      <xdr:spPr>
        <a:xfrm>
          <a:off x="504825" y="104775"/>
          <a:ext cx="6828571" cy="77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139700</xdr:colOff>
      <xdr:row>1</xdr:row>
      <xdr:rowOff>120650</xdr:rowOff>
    </xdr:from>
    <xdr:to>
      <xdr:col>12</xdr:col>
      <xdr:colOff>557831</xdr:colOff>
      <xdr:row>18</xdr:row>
      <xdr:rowOff>25007</xdr:rowOff>
    </xdr:to>
    <xdr:pic>
      <xdr:nvPicPr>
        <xdr:cNvPr id="2" name="Picture 1">
          <a:extLst>
            <a:ext uri="{FF2B5EF4-FFF2-40B4-BE49-F238E27FC236}">
              <a16:creationId xmlns:a16="http://schemas.microsoft.com/office/drawing/2014/main" id="{287B188A-AEAC-1ED7-E895-B7C2F2914AE9}"/>
            </a:ext>
          </a:extLst>
        </xdr:cNvPr>
        <xdr:cNvPicPr>
          <a:picLocks noChangeAspect="1"/>
        </xdr:cNvPicPr>
      </xdr:nvPicPr>
      <xdr:blipFill>
        <a:blip xmlns:r="http://schemas.openxmlformats.org/officeDocument/2006/relationships" r:embed="rId1"/>
        <a:stretch>
          <a:fillRect/>
        </a:stretch>
      </xdr:blipFill>
      <xdr:spPr>
        <a:xfrm>
          <a:off x="139700" y="311150"/>
          <a:ext cx="7752381" cy="3142857"/>
        </a:xfrm>
        <a:prstGeom prst="rect">
          <a:avLst/>
        </a:prstGeom>
      </xdr:spPr>
    </xdr:pic>
    <xdr:clientData/>
  </xdr:twoCellAnchor>
  <xdr:twoCellAnchor editAs="oneCell">
    <xdr:from>
      <xdr:col>17</xdr:col>
      <xdr:colOff>0</xdr:colOff>
      <xdr:row>2</xdr:row>
      <xdr:rowOff>0</xdr:rowOff>
    </xdr:from>
    <xdr:to>
      <xdr:col>27</xdr:col>
      <xdr:colOff>570667</xdr:colOff>
      <xdr:row>13</xdr:row>
      <xdr:rowOff>180689</xdr:rowOff>
    </xdr:to>
    <xdr:pic>
      <xdr:nvPicPr>
        <xdr:cNvPr id="3" name="Picture 2">
          <a:extLst>
            <a:ext uri="{FF2B5EF4-FFF2-40B4-BE49-F238E27FC236}">
              <a16:creationId xmlns:a16="http://schemas.microsoft.com/office/drawing/2014/main" id="{B2DFD154-45D8-E39E-DDCF-E3F939F9E9B3}"/>
            </a:ext>
          </a:extLst>
        </xdr:cNvPr>
        <xdr:cNvPicPr>
          <a:picLocks noChangeAspect="1"/>
        </xdr:cNvPicPr>
      </xdr:nvPicPr>
      <xdr:blipFill>
        <a:blip xmlns:r="http://schemas.openxmlformats.org/officeDocument/2006/relationships" r:embed="rId2"/>
        <a:stretch>
          <a:fillRect/>
        </a:stretch>
      </xdr:blipFill>
      <xdr:spPr>
        <a:xfrm>
          <a:off x="10363200" y="381000"/>
          <a:ext cx="6666667" cy="2285714"/>
        </a:xfrm>
        <a:prstGeom prst="rect">
          <a:avLst/>
        </a:prstGeom>
      </xdr:spPr>
    </xdr:pic>
    <xdr:clientData/>
  </xdr:twoCellAnchor>
  <xdr:twoCellAnchor editAs="oneCell">
    <xdr:from>
      <xdr:col>17</xdr:col>
      <xdr:colOff>0</xdr:colOff>
      <xdr:row>16</xdr:row>
      <xdr:rowOff>0</xdr:rowOff>
    </xdr:from>
    <xdr:to>
      <xdr:col>35</xdr:col>
      <xdr:colOff>284343</xdr:colOff>
      <xdr:row>47</xdr:row>
      <xdr:rowOff>65851</xdr:rowOff>
    </xdr:to>
    <xdr:pic>
      <xdr:nvPicPr>
        <xdr:cNvPr id="4" name="Picture 3">
          <a:extLst>
            <a:ext uri="{FF2B5EF4-FFF2-40B4-BE49-F238E27FC236}">
              <a16:creationId xmlns:a16="http://schemas.microsoft.com/office/drawing/2014/main" id="{36B774B3-664F-AE40-6584-079776CB11C2}"/>
            </a:ext>
          </a:extLst>
        </xdr:cNvPr>
        <xdr:cNvPicPr>
          <a:picLocks noChangeAspect="1"/>
        </xdr:cNvPicPr>
      </xdr:nvPicPr>
      <xdr:blipFill>
        <a:blip xmlns:r="http://schemas.openxmlformats.org/officeDocument/2006/relationships" r:embed="rId3"/>
        <a:stretch>
          <a:fillRect/>
        </a:stretch>
      </xdr:blipFill>
      <xdr:spPr>
        <a:xfrm>
          <a:off x="10363200" y="3048000"/>
          <a:ext cx="11257143" cy="65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XBCOV3F1\Groups$\EK%20Commercial%20Pricing\EK%20Pricing\EK%20PRICING2014-15\Europe%202014-15\DE\Corporates\Framework%20,%20Rules,%20Index\Rules\CAT%2025\DE%20Rule%20F%20A%20%20J%20C%20I%20I%20Y%20E%20R%20W%20M%20U%20B%20(%20All%20In%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workspace/Documents%20and%20Settings/S043540/Local%20Settings/Temporary%20Internet%20Files/OLK92/EK%20Fares%20and%20Rules%20Template%20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392496\D-Drive\LocalData\Business%20prjt%20team_nov16\EXPRESS%20CONTRACT\ATPCO%20SI.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emiratesgroup.sharepoint.com/teams/GP/Shared%20Documents/Leisure/Air%20Passes/East/Australia%20&amp;%20New%20Zeeland%20Air%20Pass/EK%20Explorer%20Fares/Working%20Folder/WIP/EK_QF%20Explorer%20Rule%20template.xlsb" TargetMode="External"/><Relationship Id="rId2" Type="http://schemas.openxmlformats.org/officeDocument/2006/relationships/externalLinkPath" Target="https://emiratesgroup.sharepoint.com/teams/GP/Shared%20Documents/Leisure/Air%20Passes/East/Australia%20&amp;%20New%20Zeeland%20Air%20Pass/EK%20Explorer%20Fares/WIP/EK_QF%20Explorer%20Rule%20template.xlsb" TargetMode="External"/><Relationship Id="rId1" Type="http://schemas.openxmlformats.org/officeDocument/2006/relationships/externalLinkPath" Target="/teams/GP/Shared%20Documents/Leisure/Air%20Passes/East/Australia%20&amp;%20New%20Zeeland%20Air%20Pass/EK%20Explorer%20Fares/Working%20Folder/WIP/EK_QF%20Explorer%20Rule%20template.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 Categories Amend"/>
      <sheetName val="DataValues"/>
      <sheetName val="DE Rule F A  J C I I Y E R W M "/>
      <sheetName val="Data Validation"/>
      <sheetName val="Drop down lists"/>
      <sheetName val="Info"/>
      <sheetName val="DropdownList"/>
      <sheetName val="Sheet1"/>
      <sheetName val="Rule_-_Categories_Amend"/>
      <sheetName val="DE_Rule_F_A__J_C_I_I_Y_E_R_W_M_"/>
      <sheetName val="Data_Validation"/>
      <sheetName val="Drop_down_lists"/>
      <sheetName val="Rule_-_Categories_Amend1"/>
      <sheetName val="DE_Rule_F_A__J_C_I_I_Y_E_R_W_M1"/>
      <sheetName val="Data_Validation1"/>
      <sheetName val="Drop_down_lists1"/>
      <sheetName val="Rule_-_Categories_Amend3"/>
      <sheetName val="DE_Rule_F_A__J_C_I_I_Y_E_R_W_M3"/>
      <sheetName val="Data_Validation3"/>
      <sheetName val="Drop_down_lists3"/>
      <sheetName val="Rule_-_Categories_Amend2"/>
      <sheetName val="DE_Rule_F_A__J_C_I_I_Y_E_R_W_M2"/>
      <sheetName val="Data_Validation2"/>
      <sheetName val="Drop_down_lists2"/>
      <sheetName val="Rule_-_Categories_Amend4"/>
      <sheetName val="DE_Rule_F_A__J_C_I_I_Y_E_R_W_M4"/>
      <sheetName val="Data_Validation4"/>
      <sheetName val="Drop_down_lists4"/>
      <sheetName val="Rule_-_Categories_Amend5"/>
      <sheetName val="DE_Rule_F_A__J_C_I_I_Y_E_R_W_M5"/>
      <sheetName val="Data_Validation5"/>
      <sheetName val="Drop_down_lists5"/>
      <sheetName val="Rule_-_Categories_Amend6"/>
      <sheetName val="DE_Rule_F_A__J_C_I_I_Y_E_R_W_M6"/>
      <sheetName val="Data_Validation6"/>
      <sheetName val="Drop_down_lists6"/>
      <sheetName val="Rule_-_Categories_Amend7"/>
      <sheetName val="DE_Rule_F_A__J_C_I_I_Y_E_R_W_M7"/>
      <sheetName val="Data_Validation7"/>
      <sheetName val="Drop_down_lists7"/>
      <sheetName val="Rule_-_Categories_Amend8"/>
      <sheetName val="DE_Rule_F_A__J_C_I_I_Y_E_R_W_M8"/>
      <sheetName val="Data_Validation8"/>
      <sheetName val="Drop_down_lists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e Data has to be Tariff wise"/>
      <sheetName val="Rule Conditions"/>
      <sheetName val="Rules"/>
      <sheetName val="Product Fare Type Deal Code "/>
      <sheetName val="Sheet2"/>
      <sheetName val="Fare_Data_has_to_be_Tariff_wise"/>
      <sheetName val="Rule_Conditions"/>
      <sheetName val="Product_Fare_Type_Deal_Code_"/>
      <sheetName val="Fare_Data_has_to_be_Tariff_wis1"/>
      <sheetName val="Rule_Conditions1"/>
      <sheetName val="Product_Fare_Type_Deal_Code_1"/>
      <sheetName val="Fare_Data_has_to_be_Tariff_wis2"/>
      <sheetName val="Rule_Conditions2"/>
      <sheetName val="Product_Fare_Type_Deal_Code_2"/>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and FBRI"/>
      <sheetName val="Fare By Rule"/>
      <sheetName val="Negotiated Fares (cat35)"/>
      <sheetName val="Travel, Ticketing Restrictions"/>
      <sheetName val="Flight Application"/>
      <sheetName val="Other Restrictions"/>
      <sheetName val="FBR Supporting Data"/>
      <sheetName val="Additional Data Processing"/>
      <sheetName val="Cat 25 Qualifying Rec 3 Tb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idelines"/>
      <sheetName val="DropdownList"/>
      <sheetName val="EK POS list"/>
      <sheetName val="Summary"/>
      <sheetName val="Data"/>
      <sheetName val="Published Rules"/>
      <sheetName val="RTG"/>
      <sheetName val="Sheet1"/>
      <sheetName val="Free Text"/>
      <sheetName val="EK Regions"/>
      <sheetName val="EK_QF Explorer Rule template"/>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delle Amara - Revenue Optimisation Manager" refreshedDate="45876.623322222222" createdVersion="8" refreshedVersion="8" minRefreshableVersion="3" recordCount="58" xr:uid="{8453C133-BD3C-4C87-8561-3FE12BCD2519}">
  <cacheSource type="worksheet">
    <worksheetSource ref="B4:S62" sheet="Add-ons"/>
  </cacheSource>
  <cacheFields count="17">
    <cacheField name="Country Name" numFmtId="0">
      <sharedItems containsBlank="1" count="12">
        <m/>
        <s v="Thailand"/>
        <s v="China"/>
        <s v="Vietnam"/>
        <s v="Indonesia "/>
        <s v="Hongkong"/>
        <s v="Cambodia"/>
        <s v="Malayasia"/>
        <s v="Maldives"/>
        <s v="Singapore"/>
        <s v="Taiwan "/>
        <s v="Japan"/>
      </sharedItems>
    </cacheField>
    <cacheField name="City Name" numFmtId="0">
      <sharedItems containsBlank="1"/>
    </cacheField>
    <cacheField name="ISO" numFmtId="0">
      <sharedItems containsBlank="1"/>
    </cacheField>
    <cacheField name="City Code" numFmtId="0">
      <sharedItems containsBlank="1"/>
    </cacheField>
    <cacheField name="OAL" numFmtId="0">
      <sharedItems containsBlank="1" count="9">
        <m/>
        <s v="PG"/>
        <s v="OD/MH"/>
        <s v="OD"/>
        <s v="OD/EK/MH"/>
        <s v="OD/EK/GA"/>
        <s v="OD/EK"/>
        <s v="OD/EK/3K"/>
        <s v="OD/JL/MH"/>
      </sharedItems>
    </cacheField>
    <cacheField name="Addon" numFmtId="0">
      <sharedItems containsBlank="1"/>
    </cacheField>
    <cacheField name="Addon City Code" numFmtId="0">
      <sharedItems containsBlank="1"/>
    </cacheField>
    <cacheField name="City Name2" numFmtId="0">
      <sharedItems containsBlank="1"/>
    </cacheField>
    <cacheField name="Country Name2" numFmtId="0">
      <sharedItems containsBlank="1"/>
    </cacheField>
    <cacheField name="Codeshare or Interline" numFmtId="0">
      <sharedItems containsBlank="1" count="4">
        <m/>
        <s v="Codeshare"/>
        <s v="EK operated"/>
        <s v="Interline"/>
      </sharedItems>
    </cacheField>
    <cacheField name="OD Pair" numFmtId="0">
      <sharedItems containsBlank="1" count="54">
        <m/>
        <s v="BKKCNX"/>
        <s v="BKKDAD"/>
        <s v="BKKHGN"/>
        <s v="BKKHKT"/>
        <s v="BKKKBV"/>
        <s v="BKKKTI"/>
        <s v="BKKKUL"/>
        <s v="BKKLPQ"/>
        <s v="BKKLPT"/>
        <s v="BKKMDL"/>
        <s v="BKKNYT"/>
        <s v="BKKPNH"/>
        <s v="BKKPQC"/>
        <s v="BKKRGN"/>
        <s v="BKKSAI"/>
        <s v="BKKTDX"/>
        <s v="BKKTHS"/>
        <s v="BKKUSM"/>
        <s v="BKKVTE"/>
        <s v="CANKUL"/>
        <s v="DADKUL"/>
        <s v="DPSKUL"/>
        <s v="HKGUSM"/>
        <s v="HKTCNX"/>
        <s v="HKTHDY"/>
        <s v="HKTKUL"/>
        <s v="HKTUSM"/>
        <s v="HKTUTP"/>
        <s v="JKTKUL"/>
        <s v="KTIBKK"/>
        <s v="KULBKI"/>
        <s v="KULBKK"/>
        <s v="KULCAN"/>
        <s v="KULDAD"/>
        <s v="KULDPS"/>
        <s v="KULHKT"/>
        <s v="KULJHB"/>
        <s v="KULJKT"/>
        <s v="KULKCH"/>
        <s v="KULLGK"/>
        <s v="KULPEN"/>
        <s v="KULSGN"/>
        <s v="KULSIN"/>
        <s v="KULTPE"/>
        <s v="KULTYO"/>
        <s v="KULUSM"/>
        <s v="MLEBKK"/>
        <s v="SAIBKK"/>
        <s v="SGNKUL"/>
        <s v="SINKUL"/>
        <s v="SINUSM"/>
        <s v="TPEKUL"/>
        <s v="TYOKUL"/>
      </sharedItems>
    </cacheField>
    <cacheField name="Journey Type" numFmtId="0">
      <sharedItems containsBlank="1" count="3">
        <m/>
        <s v="Domestic"/>
        <s v="International"/>
      </sharedItems>
    </cacheField>
    <cacheField name="Add-on" numFmtId="0">
      <sharedItems containsBlank="1"/>
    </cacheField>
    <cacheField name="Saver" numFmtId="0">
      <sharedItems containsBlank="1" containsMixedTypes="1" containsNumber="1" containsInteger="1" minValue="49" maxValue="530"/>
    </cacheField>
    <cacheField name="Flex" numFmtId="0">
      <sharedItems containsBlank="1" containsMixedTypes="1" containsNumber="1" containsInteger="1" minValue="72" maxValue="750"/>
    </cacheField>
    <cacheField name="Flex+" numFmtId="0">
      <sharedItems containsBlank="1" containsMixedTypes="1" containsNumber="1" containsInteger="1" minValue="110" maxValue="3058"/>
    </cacheField>
    <cacheField name="Average" numFmtId="0">
      <sharedItems containsString="0" containsBlank="1" containsNumber="1" minValue="77" maxValue="1154.6666666666667"/>
    </cacheField>
  </cacheFields>
  <extLst>
    <ext xmlns:x14="http://schemas.microsoft.com/office/spreadsheetml/2009/9/main" uri="{725AE2AE-9491-48be-B2B4-4EB974FC3084}">
      <x14:pivotCacheDefinition pivotCacheId="1248869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m/>
    <s v="Code"/>
    <m/>
    <x v="0"/>
    <s v="ISO Cntry Code"/>
    <m/>
    <m/>
    <m/>
    <x v="0"/>
    <x v="0"/>
    <x v="0"/>
    <s v="Curr"/>
    <s v="OW"/>
    <s v="OW"/>
    <s v="OW"/>
    <m/>
  </r>
  <r>
    <x v="0"/>
    <m/>
    <m/>
    <m/>
    <x v="0"/>
    <m/>
    <m/>
    <m/>
    <m/>
    <x v="0"/>
    <x v="0"/>
    <x v="0"/>
    <m/>
    <m/>
    <m/>
    <m/>
    <m/>
  </r>
  <r>
    <x v="1"/>
    <s v="Bangkok"/>
    <s v="TH"/>
    <s v="BKK"/>
    <x v="1"/>
    <s v="TH"/>
    <s v="CNX"/>
    <s v="Chiang Mai"/>
    <s v="Thailand"/>
    <x v="1"/>
    <x v="1"/>
    <x v="1"/>
    <s v="USD"/>
    <n v="78"/>
    <n v="90"/>
    <n v="174"/>
    <n v="114"/>
  </r>
  <r>
    <x v="1"/>
    <s v="Bangkok"/>
    <s v="TH"/>
    <s v="BKK"/>
    <x v="1"/>
    <s v="VN"/>
    <s v="DAD"/>
    <s v="Da Nang"/>
    <s v="Vietnam"/>
    <x v="2"/>
    <x v="2"/>
    <x v="2"/>
    <s v="USD"/>
    <n v="155"/>
    <n v="170"/>
    <n v="250"/>
    <n v="191.66666666666666"/>
  </r>
  <r>
    <x v="1"/>
    <s v="Bangkok"/>
    <s v="TH"/>
    <s v="BKK"/>
    <x v="1"/>
    <s v="TH"/>
    <s v="HGN"/>
    <s v="Hanoi"/>
    <s v="Vietnam"/>
    <x v="3"/>
    <x v="3"/>
    <x v="2"/>
    <s v="USD"/>
    <n v="115"/>
    <n v="120"/>
    <n v="205"/>
    <n v="146.66666666666666"/>
  </r>
  <r>
    <x v="1"/>
    <s v="Bangkok"/>
    <s v="TH"/>
    <s v="BKK"/>
    <x v="1"/>
    <s v="TH"/>
    <s v="HKT"/>
    <s v="Phuket"/>
    <s v="Thailand"/>
    <x v="1"/>
    <x v="4"/>
    <x v="1"/>
    <s v="USD"/>
    <n v="91"/>
    <n v="103"/>
    <n v="176"/>
    <n v="123.33333333333333"/>
  </r>
  <r>
    <x v="1"/>
    <s v="Bangkok"/>
    <s v="TH"/>
    <s v="BKK"/>
    <x v="1"/>
    <s v="TH"/>
    <s v="KBV"/>
    <s v="Krabi"/>
    <s v="Thailand"/>
    <x v="1"/>
    <x v="5"/>
    <x v="1"/>
    <s v="USD"/>
    <n v="91"/>
    <n v="103"/>
    <n v="176"/>
    <n v="123.33333333333333"/>
  </r>
  <r>
    <x v="1"/>
    <s v="Bangkok"/>
    <s v="TH"/>
    <s v="BKK"/>
    <x v="1"/>
    <s v="KH"/>
    <s v="KTI"/>
    <s v="Krong Ta Khmau"/>
    <s v="Cambodia"/>
    <x v="2"/>
    <x v="6"/>
    <x v="2"/>
    <s v="USD"/>
    <n v="119"/>
    <n v="134"/>
    <n v="201"/>
    <n v="151.33333333333334"/>
  </r>
  <r>
    <x v="1"/>
    <s v="Bangkok"/>
    <s v="TH"/>
    <s v="BKK"/>
    <x v="2"/>
    <s v="MY"/>
    <s v="KUL"/>
    <s v="Kuala Lumpur"/>
    <s v="Malaysia"/>
    <x v="3"/>
    <x v="7"/>
    <x v="2"/>
    <s v="USD"/>
    <n v="110"/>
    <n v="140"/>
    <n v="220"/>
    <n v="156.66666666666666"/>
  </r>
  <r>
    <x v="1"/>
    <s v="Bangkok"/>
    <s v="TH"/>
    <s v="BKK"/>
    <x v="1"/>
    <s v="LA"/>
    <s v="LPQ"/>
    <s v="Luang Prabang"/>
    <s v="Lao"/>
    <x v="1"/>
    <x v="8"/>
    <x v="2"/>
    <s v="USD"/>
    <n v="140"/>
    <n v="150"/>
    <n v="250"/>
    <n v="180"/>
  </r>
  <r>
    <x v="1"/>
    <s v="Bangkok"/>
    <s v="TH"/>
    <s v="BKK"/>
    <x v="1"/>
    <s v="TH"/>
    <s v="LPT"/>
    <s v="Lampang"/>
    <s v="Thailand"/>
    <x v="1"/>
    <x v="9"/>
    <x v="1"/>
    <s v="USD"/>
    <n v="82"/>
    <n v="91"/>
    <n v="161"/>
    <n v="111.33333333333333"/>
  </r>
  <r>
    <x v="1"/>
    <s v="Bangkok"/>
    <s v="TH"/>
    <s v="BKK"/>
    <x v="1"/>
    <s v="MM"/>
    <s v="MDL"/>
    <s v="Mandalay"/>
    <s v="Myanmar"/>
    <x v="3"/>
    <x v="10"/>
    <x v="2"/>
    <s v="USD"/>
    <n v="120"/>
    <n v="130"/>
    <n v="230"/>
    <n v="160"/>
  </r>
  <r>
    <x v="1"/>
    <s v="Bangkok"/>
    <s v="TH"/>
    <s v="BKK"/>
    <x v="1"/>
    <s v="MM"/>
    <s v="NYT"/>
    <s v="Nay Pyi taw"/>
    <s v="Myanmar"/>
    <x v="3"/>
    <x v="11"/>
    <x v="2"/>
    <s v="USD"/>
    <n v="125"/>
    <n v="130"/>
    <n v="230"/>
    <n v="161.66666666666666"/>
  </r>
  <r>
    <x v="1"/>
    <s v="Bangkok"/>
    <s v="TH"/>
    <s v="BKK"/>
    <x v="1"/>
    <s v="KH"/>
    <s v="PNH"/>
    <s v="Phnom Penh"/>
    <s v="Cambodia"/>
    <x v="1"/>
    <x v="12"/>
    <x v="2"/>
    <s v="USD"/>
    <n v="119"/>
    <n v="134"/>
    <n v="201"/>
    <n v="151.33333333333334"/>
  </r>
  <r>
    <x v="1"/>
    <s v="Bangkok"/>
    <s v="TH"/>
    <s v="BKK"/>
    <x v="1"/>
    <s v="VN"/>
    <s v="PQC"/>
    <s v="Phu Quoc Island"/>
    <s v="Vietnam"/>
    <x v="3"/>
    <x v="13"/>
    <x v="2"/>
    <s v="USD"/>
    <n v="130"/>
    <n v="145"/>
    <n v="250"/>
    <n v="175"/>
  </r>
  <r>
    <x v="1"/>
    <s v="Bangkok"/>
    <s v="TH"/>
    <s v="BKK"/>
    <x v="1"/>
    <s v="MM"/>
    <s v="RGN"/>
    <s v="Yangon"/>
    <s v="Myanmar"/>
    <x v="3"/>
    <x v="14"/>
    <x v="2"/>
    <s v="USD"/>
    <n v="115"/>
    <n v="130"/>
    <n v="200"/>
    <n v="148.33333333333334"/>
  </r>
  <r>
    <x v="1"/>
    <s v="Bangkok"/>
    <s v="TH"/>
    <s v="BKK"/>
    <x v="1"/>
    <s v="KH"/>
    <s v="SAI"/>
    <s v="Siem Reap"/>
    <s v="Cambodia"/>
    <x v="2"/>
    <x v="15"/>
    <x v="2"/>
    <s v="USD"/>
    <n v="155"/>
    <n v="170"/>
    <n v="250"/>
    <n v="191.66666666666666"/>
  </r>
  <r>
    <x v="1"/>
    <s v="Bangkok"/>
    <s v="TH"/>
    <s v="BKK"/>
    <x v="1"/>
    <s v="KH"/>
    <s v="SAI"/>
    <s v="Siem Reap"/>
    <s v="Cambodia"/>
    <x v="1"/>
    <x v="15"/>
    <x v="2"/>
    <s v="USD"/>
    <n v="152"/>
    <n v="166"/>
    <n v="241"/>
    <n v="186.33333333333334"/>
  </r>
  <r>
    <x v="1"/>
    <s v="Bangkok"/>
    <s v="TH"/>
    <s v="BKK"/>
    <x v="1"/>
    <s v="TH"/>
    <s v="TDX"/>
    <s v="Trat"/>
    <s v="Thailand"/>
    <x v="1"/>
    <x v="16"/>
    <x v="1"/>
    <s v="USD"/>
    <n v="80"/>
    <n v="86"/>
    <n v="149"/>
    <n v="105"/>
  </r>
  <r>
    <x v="1"/>
    <s v="Bangkok"/>
    <s v="TH"/>
    <s v="BKK"/>
    <x v="1"/>
    <s v="TH"/>
    <s v="THS"/>
    <s v="Sukhothai"/>
    <s v="Thailand"/>
    <x v="1"/>
    <x v="17"/>
    <x v="1"/>
    <s v="USD"/>
    <n v="77"/>
    <n v="86"/>
    <n v="135"/>
    <n v="99.333333333333329"/>
  </r>
  <r>
    <x v="1"/>
    <s v="Bangkok"/>
    <s v="TH"/>
    <s v="BKK"/>
    <x v="1"/>
    <s v="TH"/>
    <s v="USM"/>
    <s v="Ko Samui"/>
    <s v="Thailand"/>
    <x v="1"/>
    <x v="18"/>
    <x v="1"/>
    <s v="USD"/>
    <n v="166"/>
    <n v="166"/>
    <n v="166"/>
    <n v="166"/>
  </r>
  <r>
    <x v="1"/>
    <s v="Bangkok"/>
    <s v="TH"/>
    <s v="BKK"/>
    <x v="1"/>
    <s v="LA"/>
    <s v="VTE"/>
    <s v="Vientiane"/>
    <s v="Lao"/>
    <x v="3"/>
    <x v="19"/>
    <x v="2"/>
    <s v="USD"/>
    <n v="110"/>
    <n v="110"/>
    <n v="165"/>
    <n v="128.33333333333334"/>
  </r>
  <r>
    <x v="2"/>
    <s v="Canton"/>
    <s v="CN"/>
    <s v="CAN"/>
    <x v="3"/>
    <s v="MY"/>
    <s v="KUL"/>
    <s v="Kuala Lumpur"/>
    <s v="Malaysia"/>
    <x v="3"/>
    <x v="20"/>
    <x v="2"/>
    <s v="USD"/>
    <n v="530"/>
    <n v="650"/>
    <n v="1050"/>
    <n v="743.33333333333337"/>
  </r>
  <r>
    <x v="3"/>
    <s v="Da Nang"/>
    <s v="VN"/>
    <s v="DAD"/>
    <x v="3"/>
    <s v="MY"/>
    <s v="KUL"/>
    <s v="Kuala Lumpur"/>
    <s v="Malaysia"/>
    <x v="3"/>
    <x v="21"/>
    <x v="2"/>
    <s v="USD"/>
    <n v="105"/>
    <n v="125"/>
    <n v="190"/>
    <n v="140"/>
  </r>
  <r>
    <x v="4"/>
    <s v="Denpasar"/>
    <s v="ID"/>
    <s v="DPS"/>
    <x v="4"/>
    <s v="MY"/>
    <s v="KUL"/>
    <s v="Kuala Lumpur"/>
    <s v="Malaysia"/>
    <x v="1"/>
    <x v="22"/>
    <x v="2"/>
    <s v="USD"/>
    <n v="101"/>
    <n v="119"/>
    <n v="200"/>
    <n v="140"/>
  </r>
  <r>
    <x v="5"/>
    <s v="Hongkong"/>
    <s v="HK"/>
    <s v="HKG"/>
    <x v="1"/>
    <s v="TH"/>
    <s v="USM"/>
    <s v="Ko Samui"/>
    <s v="Thailand"/>
    <x v="3"/>
    <x v="23"/>
    <x v="2"/>
    <s v="USD"/>
    <n v="222"/>
    <n v="250"/>
    <n v="431"/>
    <n v="301"/>
  </r>
  <r>
    <x v="1"/>
    <s v="Phuket"/>
    <s v="TH"/>
    <s v="HKT"/>
    <x v="1"/>
    <s v="TH"/>
    <s v="CNX"/>
    <s v="Chiang Mai"/>
    <s v="Thailand"/>
    <x v="1"/>
    <x v="24"/>
    <x v="1"/>
    <s v="USD"/>
    <n v="115"/>
    <n v="142"/>
    <n v="142"/>
    <n v="133"/>
  </r>
  <r>
    <x v="1"/>
    <s v="Phuket"/>
    <s v="TH"/>
    <s v="HKT"/>
    <x v="1"/>
    <s v="TH"/>
    <s v="CNX"/>
    <s v="Chiang Mai"/>
    <s v="Thailand"/>
    <x v="3"/>
    <x v="24"/>
    <x v="1"/>
    <s v="USD"/>
    <n v="151"/>
    <n v="165"/>
    <n v="255"/>
    <n v="190.33333333333334"/>
  </r>
  <r>
    <x v="1"/>
    <s v="Phuket"/>
    <s v="TH"/>
    <s v="HKT"/>
    <x v="1"/>
    <s v="TH"/>
    <s v="HDY"/>
    <s v="Hat Yai"/>
    <s v="Thailand"/>
    <x v="3"/>
    <x v="25"/>
    <x v="1"/>
    <s v="USD"/>
    <n v="65"/>
    <n v="74"/>
    <n v="119"/>
    <n v="86"/>
  </r>
  <r>
    <x v="1"/>
    <s v="Phuket"/>
    <s v="TH"/>
    <s v="HKT"/>
    <x v="4"/>
    <s v="MY"/>
    <s v="KUL"/>
    <s v="Kuala Lumpur"/>
    <s v="Malaysia"/>
    <x v="3"/>
    <x v="26"/>
    <x v="2"/>
    <s v="USD"/>
    <n v="79"/>
    <n v="132"/>
    <n v="174"/>
    <n v="128.33333333333334"/>
  </r>
  <r>
    <x v="1"/>
    <s v="Phuket"/>
    <s v="TH"/>
    <s v="HKT"/>
    <x v="1"/>
    <s v="TH"/>
    <s v="USM"/>
    <s v="Ko Samui"/>
    <s v="Thailand"/>
    <x v="1"/>
    <x v="27"/>
    <x v="1"/>
    <s v="USD"/>
    <n v="114"/>
    <n v="114"/>
    <n v="114"/>
    <n v="114"/>
  </r>
  <r>
    <x v="1"/>
    <s v="Phuket"/>
    <s v="TH"/>
    <s v="HKT"/>
    <x v="1"/>
    <s v="TH"/>
    <s v="UTP"/>
    <s v="Utapao"/>
    <s v="Thailand"/>
    <x v="1"/>
    <x v="28"/>
    <x v="1"/>
    <s v="USD"/>
    <n v="92"/>
    <n v="102"/>
    <n v="179"/>
    <n v="124.33333333333333"/>
  </r>
  <r>
    <x v="4"/>
    <s v="Jakarta"/>
    <s v="ID"/>
    <s v="JKT"/>
    <x v="5"/>
    <s v="MY"/>
    <s v="KUL"/>
    <s v="Kuala Lumpur"/>
    <s v="Malaysia"/>
    <x v="1"/>
    <x v="29"/>
    <x v="2"/>
    <s v="USD"/>
    <n v="125"/>
    <n v="240"/>
    <n v="240"/>
    <n v="201.66666666666666"/>
  </r>
  <r>
    <x v="6"/>
    <s v="PHNOM PENH "/>
    <s v="KH"/>
    <s v="KTI"/>
    <x v="1"/>
    <s v="TH"/>
    <s v="BKK"/>
    <s v="Bangkok"/>
    <s v="Thailand"/>
    <x v="1"/>
    <x v="30"/>
    <x v="2"/>
    <s v="USD"/>
    <n v="119"/>
    <n v="134"/>
    <n v="201"/>
    <n v="151.33333333333334"/>
  </r>
  <r>
    <x v="7"/>
    <s v="Kuala Lumpur"/>
    <s v="MY"/>
    <s v="KUL"/>
    <x v="6"/>
    <s v="MY"/>
    <s v="BKI"/>
    <s v="Kota Kinabalu"/>
    <s v="Malaysia"/>
    <x v="1"/>
    <x v="31"/>
    <x v="1"/>
    <s v="USD"/>
    <n v="67"/>
    <n v="105"/>
    <n v="209"/>
    <n v="127"/>
  </r>
  <r>
    <x v="7"/>
    <s v="Kuala Lumpur"/>
    <s v="MY"/>
    <s v="KUL"/>
    <x v="3"/>
    <s v="TH"/>
    <s v="BKK"/>
    <s v="Bangkok"/>
    <s v="Thailand"/>
    <x v="3"/>
    <x v="32"/>
    <x v="2"/>
    <s v="USD"/>
    <n v="110"/>
    <n v="130"/>
    <n v="220"/>
    <n v="153.33333333333334"/>
  </r>
  <r>
    <x v="7"/>
    <s v="Kuala Lumpur"/>
    <s v="MY"/>
    <s v="KUL"/>
    <x v="3"/>
    <s v="CN"/>
    <s v="CAN"/>
    <s v="Guangzhou"/>
    <s v="China"/>
    <x v="3"/>
    <x v="33"/>
    <x v="2"/>
    <s v="USD"/>
    <n v="530"/>
    <n v="650"/>
    <n v="1050"/>
    <n v="743.33333333333337"/>
  </r>
  <r>
    <x v="7"/>
    <s v="Kuala Lumpur"/>
    <s v="MY"/>
    <s v="KUL"/>
    <x v="3"/>
    <s v="VN"/>
    <s v="DAD"/>
    <s v="Da Nang"/>
    <s v="Vietnam"/>
    <x v="3"/>
    <x v="34"/>
    <x v="2"/>
    <s v="USD"/>
    <n v="105"/>
    <n v="125"/>
    <n v="190"/>
    <n v="140"/>
  </r>
  <r>
    <x v="7"/>
    <s v="Kuala Lumpur"/>
    <s v="MY"/>
    <s v="KUL"/>
    <x v="6"/>
    <s v="ID"/>
    <s v="DPS"/>
    <s v="Denpasar"/>
    <s v="Indonesia"/>
    <x v="1"/>
    <x v="35"/>
    <x v="2"/>
    <s v="USD"/>
    <n v="101"/>
    <n v="114"/>
    <n v="200"/>
    <n v="138.33333333333334"/>
  </r>
  <r>
    <x v="7"/>
    <s v="Kuala Lumpur"/>
    <s v="MY"/>
    <s v="KUL"/>
    <x v="3"/>
    <s v="TH"/>
    <s v="HKT"/>
    <s v="Phuket"/>
    <s v="Thailand"/>
    <x v="3"/>
    <x v="36"/>
    <x v="2"/>
    <s v="USD"/>
    <n v="79"/>
    <n v="109"/>
    <n v="174"/>
    <n v="120.66666666666667"/>
  </r>
  <r>
    <x v="7"/>
    <s v="Kuala Lumpur"/>
    <s v="MY"/>
    <s v="KUL"/>
    <x v="6"/>
    <s v="MY"/>
    <s v="JHB"/>
    <s v="Jojor Bahru"/>
    <s v="Malaysia"/>
    <x v="1"/>
    <x v="37"/>
    <x v="1"/>
    <s v="USD"/>
    <n v="55"/>
    <n v="83"/>
    <n v="131"/>
    <n v="89.666666666666671"/>
  </r>
  <r>
    <x v="7"/>
    <s v="Kuala Lumpur"/>
    <s v="MY"/>
    <s v="KUL"/>
    <x v="6"/>
    <s v="ID"/>
    <s v="JKT"/>
    <s v="Jakarta"/>
    <s v="Indonesia"/>
    <x v="1"/>
    <x v="38"/>
    <x v="2"/>
    <s v="USD"/>
    <n v="101"/>
    <n v="114"/>
    <n v="200"/>
    <n v="138.33333333333334"/>
  </r>
  <r>
    <x v="7"/>
    <s v="Kuala Lumpur"/>
    <s v="MY"/>
    <s v="KUL"/>
    <x v="6"/>
    <s v="MY"/>
    <s v="KCH"/>
    <s v="Kuching"/>
    <s v="Malaysia"/>
    <x v="1"/>
    <x v="39"/>
    <x v="1"/>
    <s v="USD"/>
    <n v="55"/>
    <n v="105"/>
    <n v="193"/>
    <n v="117.66666666666667"/>
  </r>
  <r>
    <x v="7"/>
    <s v="Kuala Lumpur"/>
    <s v="MY"/>
    <s v="KUL"/>
    <x v="6"/>
    <s v="MY"/>
    <s v="LGK"/>
    <s v="Langkawi"/>
    <s v="Malaysia"/>
    <x v="1"/>
    <x v="40"/>
    <x v="1"/>
    <s v="USD"/>
    <n v="49"/>
    <n v="72"/>
    <n v="110"/>
    <n v="77"/>
  </r>
  <r>
    <x v="7"/>
    <s v="Kuala Lumpur"/>
    <s v="MY"/>
    <s v="KUL"/>
    <x v="6"/>
    <s v="MY"/>
    <s v="PEN"/>
    <s v="Penang"/>
    <s v="Malaysia"/>
    <x v="1"/>
    <x v="41"/>
    <x v="1"/>
    <s v="USD"/>
    <n v="49"/>
    <n v="72"/>
    <n v="110"/>
    <n v="77"/>
  </r>
  <r>
    <x v="7"/>
    <s v="Kuala Lumpur"/>
    <s v="MY"/>
    <s v="KUL"/>
    <x v="3"/>
    <s v="VN"/>
    <s v="SGN"/>
    <s v="Ho Chi Minh"/>
    <s v="Vietnam"/>
    <x v="3"/>
    <x v="42"/>
    <x v="2"/>
    <s v="USD"/>
    <n v="90"/>
    <n v="100"/>
    <n v="180"/>
    <n v="123.33333333333333"/>
  </r>
  <r>
    <x v="7"/>
    <s v="Kuala Lumpur"/>
    <s v="MY"/>
    <s v="KUL"/>
    <x v="6"/>
    <s v="SG"/>
    <s v="SIN"/>
    <s v="Singapore"/>
    <s v="Singapore"/>
    <x v="1"/>
    <x v="43"/>
    <x v="2"/>
    <s v="USD"/>
    <n v="65"/>
    <n v="95"/>
    <n v="181"/>
    <n v="113.66666666666667"/>
  </r>
  <r>
    <x v="7"/>
    <s v="Kuala Lumpur"/>
    <s v="MY"/>
    <s v="KUL"/>
    <x v="3"/>
    <s v="TW"/>
    <s v="TPE"/>
    <s v="Taipei"/>
    <s v="Taiwan"/>
    <x v="3"/>
    <x v="44"/>
    <x v="2"/>
    <s v="USD"/>
    <n v="139"/>
    <n v="199"/>
    <n v="460"/>
    <n v="266"/>
  </r>
  <r>
    <x v="7"/>
    <s v="Kuala Lumpur"/>
    <s v="MY"/>
    <s v="KUL"/>
    <x v="3"/>
    <s v="JP"/>
    <s v="TYO"/>
    <s v="Tokyo"/>
    <s v="Japan"/>
    <x v="3"/>
    <x v="45"/>
    <x v="2"/>
    <s v="USD"/>
    <n v="400"/>
    <n v="750"/>
    <n v="1100"/>
    <n v="750"/>
  </r>
  <r>
    <x v="7"/>
    <s v="Kuala Lumpur"/>
    <s v="MY"/>
    <s v="KUL"/>
    <x v="1"/>
    <s v="TH"/>
    <s v="USM"/>
    <s v="Ko Samui"/>
    <s v="Thailand"/>
    <x v="3"/>
    <x v="46"/>
    <x v="2"/>
    <s v="USD"/>
    <n v="145"/>
    <n v="165"/>
    <n v="280"/>
    <n v="196.66666666666666"/>
  </r>
  <r>
    <x v="7"/>
    <s v="Kuala Lumpur"/>
    <s v="MY"/>
    <s v="KUL"/>
    <x v="1"/>
    <s v="TH"/>
    <s v="USM"/>
    <s v="Ko Samui"/>
    <s v="Thailand"/>
    <x v="3"/>
    <x v="46"/>
    <x v="2"/>
    <s v="USD"/>
    <n v="145"/>
    <n v="164"/>
    <n v="278"/>
    <n v="195.66666666666666"/>
  </r>
  <r>
    <x v="8"/>
    <s v="Male"/>
    <s v="MV"/>
    <s v="MLE"/>
    <x v="1"/>
    <s v="TH"/>
    <s v="BKK"/>
    <s v="Bangkok"/>
    <s v="Thailand"/>
    <x v="3"/>
    <x v="47"/>
    <x v="2"/>
    <s v="USD"/>
    <n v="333"/>
    <n v="347"/>
    <n v="547"/>
    <n v="409"/>
  </r>
  <r>
    <x v="6"/>
    <s v="SIEM REAP"/>
    <s v="KH"/>
    <s v="SAI"/>
    <x v="1"/>
    <s v="TH"/>
    <s v="BKK"/>
    <s v="Bangkok"/>
    <s v="Thailand"/>
    <x v="2"/>
    <x v="48"/>
    <x v="2"/>
    <s v="USD"/>
    <n v="152"/>
    <n v="166"/>
    <n v="241"/>
    <n v="186.33333333333334"/>
  </r>
  <r>
    <x v="3"/>
    <s v="Ho Chi Minh"/>
    <s v="VN"/>
    <s v="SGN"/>
    <x v="3"/>
    <s v="MY"/>
    <s v="KUL"/>
    <s v="Kuala Lumpur"/>
    <s v="Malaysia"/>
    <x v="3"/>
    <x v="49"/>
    <x v="2"/>
    <s v="USD"/>
    <n v="90"/>
    <n v="100"/>
    <n v="180"/>
    <n v="123.33333333333333"/>
  </r>
  <r>
    <x v="9"/>
    <s v="Singapore"/>
    <s v="SG"/>
    <s v="SIN"/>
    <x v="7"/>
    <s v="MY"/>
    <s v="KUL"/>
    <s v="Kuala Lumpur"/>
    <s v="Malaysia"/>
    <x v="1"/>
    <x v="50"/>
    <x v="2"/>
    <s v="USD"/>
    <n v="65"/>
    <n v="95"/>
    <n v="181"/>
    <n v="113.66666666666667"/>
  </r>
  <r>
    <x v="9"/>
    <s v="Singapore"/>
    <s v="SG"/>
    <s v="SIN"/>
    <x v="1"/>
    <s v="TH"/>
    <s v="USM"/>
    <s v="Ko Samui"/>
    <s v="Thailand"/>
    <x v="1"/>
    <x v="51"/>
    <x v="2"/>
    <s v="USD"/>
    <n v="194"/>
    <n v="212"/>
    <n v="3058"/>
    <n v="1154.6666666666667"/>
  </r>
  <r>
    <x v="10"/>
    <s v="Taipei"/>
    <s v="TW"/>
    <s v="TPE"/>
    <x v="3"/>
    <s v="MY"/>
    <s v="KUL"/>
    <s v="Kuala Lumpur"/>
    <s v="Malaysia"/>
    <x v="3"/>
    <x v="52"/>
    <x v="2"/>
    <s v="USD"/>
    <n v="139"/>
    <n v="199"/>
    <n v="460"/>
    <n v="266"/>
  </r>
  <r>
    <x v="11"/>
    <s v="Tokyo"/>
    <s v="JP"/>
    <s v="TYO"/>
    <x v="8"/>
    <s v="MY"/>
    <s v="KUL"/>
    <s v="Kuala Lumpur"/>
    <s v="Malaysia"/>
    <x v="3"/>
    <x v="53"/>
    <x v="2"/>
    <s v="USD"/>
    <n v="400"/>
    <n v="750"/>
    <n v="1100"/>
    <n v="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97836-7E3A-4161-B4A6-AE34D63FD619}" name="PivotTable1" cacheId="42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5:C70" firstHeaderRow="2" firstDataRow="2" firstDataCol="1" rowPageCount="2" colPageCount="1"/>
  <pivotFields count="17">
    <pivotField compact="0" outline="0" showAll="0">
      <items count="13">
        <item x="6"/>
        <item x="2"/>
        <item x="5"/>
        <item x="4"/>
        <item x="11"/>
        <item x="7"/>
        <item x="8"/>
        <item x="9"/>
        <item x="10"/>
        <item x="1"/>
        <item x="3"/>
        <item x="0"/>
        <item t="default"/>
      </items>
    </pivotField>
    <pivotField compact="0" outline="0" showAll="0"/>
    <pivotField compact="0" outline="0" showAll="0"/>
    <pivotField compact="0" outline="0" showAll="0"/>
    <pivotField compact="0" outline="0" showAll="0">
      <items count="10">
        <item x="3"/>
        <item x="6"/>
        <item x="7"/>
        <item x="5"/>
        <item x="4"/>
        <item x="8"/>
        <item x="2"/>
        <item x="1"/>
        <item x="0"/>
        <item t="default"/>
      </items>
    </pivotField>
    <pivotField compact="0" outline="0" showAll="0"/>
    <pivotField compact="0" outline="0" showAll="0"/>
    <pivotField compact="0" outline="0" showAll="0"/>
    <pivotField compact="0" outline="0" showAll="0"/>
    <pivotField axis="axisPage" compact="0" outline="0"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axis="axisRow" compact="0" outline="0" showAll="0" sortType="ascending" defaultSubtotal="0">
      <items count="5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h="1" x="0"/>
      </items>
      <autoSortScope>
        <pivotArea dataOnly="0" outline="0" fieldPosition="0">
          <references count="1">
            <reference field="4294967294" count="1" selected="0">
              <x v="0"/>
            </reference>
          </references>
        </pivotArea>
      </autoSortScope>
    </pivotField>
    <pivotField axis="axisPage" compact="0" outline="0" showAll="0" sortType="ascending" defaultSubtotal="0">
      <items count="3">
        <item x="1"/>
        <item x="2"/>
        <item x="0"/>
      </items>
    </pivotField>
    <pivotField compact="0" outline="0" showAll="0"/>
    <pivotField compact="0" outline="0" showAll="0"/>
    <pivotField compact="0" outline="0" showAll="0"/>
    <pivotField compact="0" outline="0" showAll="0"/>
    <pivotField dataField="1" compact="0" outline="0" showAll="0"/>
  </pivotFields>
  <rowFields count="1">
    <field x="10"/>
  </rowFields>
  <rowItems count="54">
    <i>
      <x v="40"/>
    </i>
    <i>
      <x v="39"/>
    </i>
    <i>
      <x v="24"/>
    </i>
    <i>
      <x v="36"/>
    </i>
    <i>
      <x v="16"/>
    </i>
    <i>
      <x v="15"/>
    </i>
    <i>
      <x v="8"/>
    </i>
    <i>
      <x v="49"/>
    </i>
    <i>
      <x v="42"/>
    </i>
    <i>
      <x v="26"/>
    </i>
    <i>
      <x/>
    </i>
    <i>
      <x v="38"/>
    </i>
    <i>
      <x v="35"/>
    </i>
    <i>
      <x v="41"/>
    </i>
    <i>
      <x v="48"/>
    </i>
    <i>
      <x v="4"/>
    </i>
    <i>
      <x v="3"/>
    </i>
    <i>
      <x v="27"/>
    </i>
    <i>
      <x v="30"/>
    </i>
    <i>
      <x v="25"/>
    </i>
    <i>
      <x v="18"/>
    </i>
    <i>
      <x v="23"/>
    </i>
    <i>
      <x v="34"/>
    </i>
    <i>
      <x v="37"/>
    </i>
    <i>
      <x v="33"/>
    </i>
    <i>
      <x v="21"/>
    </i>
    <i>
      <x v="20"/>
    </i>
    <i>
      <x v="2"/>
    </i>
    <i>
      <x v="13"/>
    </i>
    <i>
      <x v="5"/>
    </i>
    <i>
      <x v="11"/>
    </i>
    <i>
      <x v="29"/>
    </i>
    <i>
      <x v="31"/>
    </i>
    <i>
      <x v="6"/>
    </i>
    <i>
      <x v="9"/>
    </i>
    <i>
      <x v="10"/>
    </i>
    <i>
      <x v="17"/>
    </i>
    <i>
      <x v="12"/>
    </i>
    <i>
      <x v="7"/>
    </i>
    <i>
      <x v="14"/>
    </i>
    <i>
      <x v="47"/>
    </i>
    <i>
      <x v="1"/>
    </i>
    <i>
      <x v="45"/>
    </i>
    <i>
      <x v="28"/>
    </i>
    <i>
      <x v="43"/>
    </i>
    <i>
      <x v="51"/>
    </i>
    <i>
      <x v="22"/>
    </i>
    <i>
      <x v="46"/>
    </i>
    <i>
      <x v="19"/>
    </i>
    <i>
      <x v="32"/>
    </i>
    <i>
      <x v="44"/>
    </i>
    <i>
      <x v="52"/>
    </i>
    <i>
      <x v="50"/>
    </i>
    <i t="grand">
      <x/>
    </i>
  </rowItems>
  <colItems count="1">
    <i/>
  </colItems>
  <pageFields count="2">
    <pageField fld="9" hier="-1"/>
    <pageField fld="11" hier="-1"/>
  </pageFields>
  <dataFields count="1">
    <dataField name="Min of Average" fld="16" subtotal="min" baseField="1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2E07151C-306D-4312-96A4-C3B4400CA418}" sourceName="Country Name">
  <pivotTables>
    <pivotTable tabId="4" name="PivotTable1"/>
  </pivotTables>
  <data>
    <tabular pivotCacheId="1248869432">
      <items count="12">
        <i x="6" s="1"/>
        <i x="2" s="1"/>
        <i x="5" s="1"/>
        <i x="4" s="1"/>
        <i x="11" s="1"/>
        <i x="7" s="1"/>
        <i x="8" s="1"/>
        <i x="9" s="1"/>
        <i x="10" s="1"/>
        <i x="1" s="1"/>
        <i x="3"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AL" xr10:uid="{33FC61B9-43DD-4AFA-BD88-AF4721ECCA2D}" sourceName="OAL">
  <pivotTables>
    <pivotTable tabId="4" name="PivotTable1"/>
  </pivotTables>
  <data>
    <tabular pivotCacheId="1248869432">
      <items count="9">
        <i x="3" s="1"/>
        <i x="6" s="1"/>
        <i x="7" s="1"/>
        <i x="5" s="1"/>
        <i x="4" s="1"/>
        <i x="8" s="1"/>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061F3888-6768-4865-A9E6-408A5C26DB1B}" cache="Slicer_Country_Name" caption="Country Name" columnCount="3" rowHeight="257175"/>
  <slicer name="OAL" xr10:uid="{8BF0F644-EE2F-48A5-A462-BB63AB55B904}" cache="Slicer_OAL" caption="OAL" columnCoun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AF09-884F-4BC6-821A-85833A0D4EFF}">
  <dimension ref="A5:I732"/>
  <sheetViews>
    <sheetView zoomScale="110" zoomScaleNormal="110" workbookViewId="0">
      <selection activeCell="E28" sqref="E28"/>
    </sheetView>
  </sheetViews>
  <sheetFormatPr defaultColWidth="9.140625" defaultRowHeight="12.95"/>
  <cols>
    <col min="1" max="1" width="2.42578125" style="2" customWidth="1"/>
    <col min="2" max="2" width="9.28515625" style="2" bestFit="1" customWidth="1"/>
    <col min="3" max="3" width="9.85546875" style="2" bestFit="1" customWidth="1"/>
    <col min="4" max="4" width="11" style="2" bestFit="1" customWidth="1"/>
    <col min="5" max="5" width="13.5703125" style="2" customWidth="1"/>
    <col min="6" max="6" width="10.42578125" style="2" bestFit="1" customWidth="1"/>
    <col min="7" max="7" width="6.85546875" style="2" customWidth="1"/>
    <col min="8" max="8" width="12.7109375" style="2" customWidth="1"/>
    <col min="9" max="9" width="10.140625" style="2" customWidth="1"/>
    <col min="10" max="16384" width="9.140625" style="2"/>
  </cols>
  <sheetData>
    <row r="5" spans="1:9" s="1" customFormat="1" ht="31.5" customHeight="1">
      <c r="B5" s="7" t="s">
        <v>0</v>
      </c>
      <c r="C5" s="7" t="s">
        <v>1</v>
      </c>
      <c r="D5" s="7" t="s">
        <v>2</v>
      </c>
      <c r="E5" s="7" t="s">
        <v>3</v>
      </c>
      <c r="F5" s="7" t="s">
        <v>4</v>
      </c>
      <c r="G5" s="7" t="s">
        <v>5</v>
      </c>
      <c r="H5" s="7" t="s">
        <v>6</v>
      </c>
      <c r="I5" s="7" t="s">
        <v>7</v>
      </c>
    </row>
    <row r="6" spans="1:9" s="1" customFormat="1" ht="14.25" customHeight="1">
      <c r="B6" s="7"/>
      <c r="C6" s="7"/>
      <c r="D6" s="7"/>
      <c r="E6" s="7"/>
      <c r="F6" s="7"/>
      <c r="G6" s="7"/>
      <c r="H6" s="7"/>
      <c r="I6" s="7"/>
    </row>
    <row r="7" spans="1:9">
      <c r="A7" s="2">
        <v>1</v>
      </c>
      <c r="B7" s="3" t="s">
        <v>8</v>
      </c>
      <c r="C7" s="4" t="s">
        <v>9</v>
      </c>
      <c r="D7" s="3" t="s">
        <v>10</v>
      </c>
      <c r="E7" s="3">
        <v>65</v>
      </c>
      <c r="F7" s="3" t="s">
        <v>11</v>
      </c>
      <c r="G7" s="3" t="s">
        <v>12</v>
      </c>
      <c r="H7" s="5">
        <v>46203</v>
      </c>
      <c r="I7" s="3"/>
    </row>
    <row r="8" spans="1:9">
      <c r="A8" s="2">
        <v>2</v>
      </c>
      <c r="B8" s="3" t="s">
        <v>13</v>
      </c>
      <c r="C8" s="4" t="s">
        <v>9</v>
      </c>
      <c r="D8" s="3" t="s">
        <v>10</v>
      </c>
      <c r="E8" s="3">
        <v>45</v>
      </c>
      <c r="F8" s="3" t="s">
        <v>11</v>
      </c>
      <c r="G8" s="3" t="s">
        <v>12</v>
      </c>
      <c r="H8" s="5">
        <v>46203</v>
      </c>
      <c r="I8" s="3"/>
    </row>
    <row r="9" spans="1:9">
      <c r="A9" s="2">
        <v>3</v>
      </c>
      <c r="B9" s="3" t="s">
        <v>14</v>
      </c>
      <c r="C9" s="4" t="s">
        <v>9</v>
      </c>
      <c r="D9" s="3" t="s">
        <v>10</v>
      </c>
      <c r="E9" s="3">
        <v>450</v>
      </c>
      <c r="F9" s="3" t="s">
        <v>11</v>
      </c>
      <c r="G9" s="3" t="s">
        <v>12</v>
      </c>
      <c r="H9" s="5">
        <v>46203</v>
      </c>
      <c r="I9" s="3"/>
    </row>
    <row r="10" spans="1:9">
      <c r="A10" s="2">
        <v>4</v>
      </c>
      <c r="B10" s="3" t="s">
        <v>15</v>
      </c>
      <c r="C10" s="4" t="s">
        <v>9</v>
      </c>
      <c r="D10" s="3" t="s">
        <v>10</v>
      </c>
      <c r="E10" s="3">
        <v>96</v>
      </c>
      <c r="F10" s="3" t="s">
        <v>11</v>
      </c>
      <c r="G10" s="3" t="s">
        <v>12</v>
      </c>
      <c r="H10" s="5">
        <v>46203</v>
      </c>
      <c r="I10" s="3"/>
    </row>
    <row r="11" spans="1:9">
      <c r="A11" s="2">
        <v>5</v>
      </c>
      <c r="B11" s="3" t="s">
        <v>16</v>
      </c>
      <c r="C11" s="4" t="s">
        <v>9</v>
      </c>
      <c r="D11" s="3" t="s">
        <v>10</v>
      </c>
      <c r="E11" s="3">
        <v>95</v>
      </c>
      <c r="F11" s="3" t="s">
        <v>11</v>
      </c>
      <c r="G11" s="3" t="s">
        <v>12</v>
      </c>
      <c r="H11" s="5">
        <v>46203</v>
      </c>
      <c r="I11" s="3"/>
    </row>
    <row r="12" spans="1:9">
      <c r="A12" s="2">
        <v>6</v>
      </c>
      <c r="B12" s="3" t="s">
        <v>17</v>
      </c>
      <c r="C12" s="4" t="s">
        <v>9</v>
      </c>
      <c r="D12" s="3" t="s">
        <v>10</v>
      </c>
      <c r="E12" s="3">
        <v>90</v>
      </c>
      <c r="F12" s="3" t="s">
        <v>11</v>
      </c>
      <c r="G12" s="3" t="s">
        <v>12</v>
      </c>
      <c r="H12" s="5">
        <v>46203</v>
      </c>
      <c r="I12" s="3"/>
    </row>
    <row r="13" spans="1:9">
      <c r="A13" s="2">
        <v>7</v>
      </c>
      <c r="B13" s="3" t="s">
        <v>18</v>
      </c>
      <c r="C13" s="4" t="s">
        <v>9</v>
      </c>
      <c r="D13" s="3" t="s">
        <v>10</v>
      </c>
      <c r="E13" s="3">
        <v>96</v>
      </c>
      <c r="F13" s="3" t="s">
        <v>11</v>
      </c>
      <c r="G13" s="3" t="s">
        <v>12</v>
      </c>
      <c r="H13" s="5">
        <v>46203</v>
      </c>
      <c r="I13" s="3"/>
    </row>
    <row r="14" spans="1:9">
      <c r="A14" s="2">
        <v>8</v>
      </c>
      <c r="B14" s="3" t="s">
        <v>19</v>
      </c>
      <c r="C14" s="4" t="s">
        <v>9</v>
      </c>
      <c r="D14" s="3" t="s">
        <v>10</v>
      </c>
      <c r="E14" s="3">
        <v>69</v>
      </c>
      <c r="F14" s="3" t="s">
        <v>11</v>
      </c>
      <c r="G14" s="3" t="s">
        <v>12</v>
      </c>
      <c r="H14" s="5">
        <v>46203</v>
      </c>
      <c r="I14" s="3"/>
    </row>
    <row r="15" spans="1:9">
      <c r="A15" s="2">
        <v>9</v>
      </c>
      <c r="B15" s="3" t="s">
        <v>20</v>
      </c>
      <c r="C15" s="4" t="s">
        <v>9</v>
      </c>
      <c r="D15" s="3" t="s">
        <v>10</v>
      </c>
      <c r="E15" s="3">
        <v>41</v>
      </c>
      <c r="F15" s="3" t="s">
        <v>11</v>
      </c>
      <c r="G15" s="3" t="s">
        <v>12</v>
      </c>
      <c r="H15" s="5">
        <v>46203</v>
      </c>
      <c r="I15" s="3"/>
    </row>
    <row r="16" spans="1:9">
      <c r="A16" s="2">
        <v>10</v>
      </c>
      <c r="B16" s="3" t="s">
        <v>21</v>
      </c>
      <c r="C16" s="4" t="s">
        <v>9</v>
      </c>
      <c r="D16" s="3" t="s">
        <v>10</v>
      </c>
      <c r="E16" s="3">
        <v>45</v>
      </c>
      <c r="F16" s="3" t="s">
        <v>11</v>
      </c>
      <c r="G16" s="3" t="s">
        <v>12</v>
      </c>
      <c r="H16" s="5">
        <v>46203</v>
      </c>
      <c r="I16" s="3"/>
    </row>
    <row r="17" spans="1:9">
      <c r="A17" s="2">
        <v>11</v>
      </c>
      <c r="B17" s="3" t="s">
        <v>22</v>
      </c>
      <c r="C17" s="4" t="s">
        <v>9</v>
      </c>
      <c r="D17" s="3" t="s">
        <v>10</v>
      </c>
      <c r="E17" s="3">
        <v>250</v>
      </c>
      <c r="F17" s="3" t="s">
        <v>11</v>
      </c>
      <c r="G17" s="3" t="s">
        <v>12</v>
      </c>
      <c r="H17" s="5">
        <v>46203</v>
      </c>
      <c r="I17" s="3"/>
    </row>
    <row r="18" spans="1:9">
      <c r="A18" s="2">
        <v>12</v>
      </c>
      <c r="B18" s="3" t="s">
        <v>23</v>
      </c>
      <c r="C18" s="4" t="s">
        <v>9</v>
      </c>
      <c r="D18" s="3" t="s">
        <v>10</v>
      </c>
      <c r="E18" s="3">
        <v>22</v>
      </c>
      <c r="F18" s="3" t="s">
        <v>11</v>
      </c>
      <c r="G18" s="3" t="s">
        <v>12</v>
      </c>
      <c r="H18" s="5">
        <v>46203</v>
      </c>
      <c r="I18" s="3"/>
    </row>
    <row r="19" spans="1:9">
      <c r="A19" s="2">
        <v>13</v>
      </c>
      <c r="B19" s="3" t="s">
        <v>24</v>
      </c>
      <c r="C19" s="4" t="s">
        <v>9</v>
      </c>
      <c r="D19" s="3" t="s">
        <v>10</v>
      </c>
      <c r="E19" s="3">
        <v>350</v>
      </c>
      <c r="F19" s="3" t="s">
        <v>11</v>
      </c>
      <c r="G19" s="3" t="s">
        <v>12</v>
      </c>
      <c r="H19" s="5">
        <v>46203</v>
      </c>
      <c r="I19" s="3"/>
    </row>
    <row r="20" spans="1:9">
      <c r="A20" s="2">
        <v>14</v>
      </c>
      <c r="B20" s="3" t="s">
        <v>25</v>
      </c>
      <c r="C20" s="4" t="s">
        <v>9</v>
      </c>
      <c r="D20" s="3" t="s">
        <v>10</v>
      </c>
      <c r="E20" s="3">
        <v>23</v>
      </c>
      <c r="F20" s="3" t="s">
        <v>11</v>
      </c>
      <c r="G20" s="3" t="s">
        <v>12</v>
      </c>
      <c r="H20" s="5">
        <v>46203</v>
      </c>
      <c r="I20" s="3"/>
    </row>
    <row r="21" spans="1:9">
      <c r="A21" s="2">
        <v>15</v>
      </c>
      <c r="B21" s="3" t="s">
        <v>26</v>
      </c>
      <c r="C21" s="4" t="s">
        <v>9</v>
      </c>
      <c r="D21" s="3" t="s">
        <v>10</v>
      </c>
      <c r="E21" s="3">
        <v>80</v>
      </c>
      <c r="F21" s="3" t="s">
        <v>11</v>
      </c>
      <c r="G21" s="3" t="s">
        <v>12</v>
      </c>
      <c r="H21" s="5">
        <v>46203</v>
      </c>
      <c r="I21" s="3"/>
    </row>
    <row r="22" spans="1:9">
      <c r="A22" s="2">
        <v>16</v>
      </c>
      <c r="B22" s="3" t="s">
        <v>27</v>
      </c>
      <c r="C22" s="4" t="s">
        <v>9</v>
      </c>
      <c r="D22" s="3" t="s">
        <v>10</v>
      </c>
      <c r="E22" s="3">
        <v>45</v>
      </c>
      <c r="F22" s="3" t="s">
        <v>11</v>
      </c>
      <c r="G22" s="3" t="s">
        <v>12</v>
      </c>
      <c r="H22" s="5">
        <v>46203</v>
      </c>
      <c r="I22" s="3"/>
    </row>
    <row r="23" spans="1:9">
      <c r="A23" s="2">
        <v>17</v>
      </c>
      <c r="B23" s="3" t="s">
        <v>28</v>
      </c>
      <c r="C23" s="4" t="s">
        <v>9</v>
      </c>
      <c r="D23" s="3" t="s">
        <v>10</v>
      </c>
      <c r="E23" s="3">
        <v>119</v>
      </c>
      <c r="F23" s="3" t="s">
        <v>11</v>
      </c>
      <c r="G23" s="3" t="s">
        <v>12</v>
      </c>
      <c r="H23" s="5">
        <v>46203</v>
      </c>
      <c r="I23" s="3"/>
    </row>
    <row r="24" spans="1:9">
      <c r="A24" s="2">
        <v>18</v>
      </c>
      <c r="B24" s="3" t="s">
        <v>29</v>
      </c>
      <c r="C24" s="4" t="s">
        <v>30</v>
      </c>
      <c r="D24" s="3" t="s">
        <v>10</v>
      </c>
      <c r="E24" s="3">
        <v>55</v>
      </c>
      <c r="F24" s="3" t="s">
        <v>11</v>
      </c>
      <c r="G24" s="3" t="s">
        <v>31</v>
      </c>
      <c r="H24" s="5">
        <v>46203</v>
      </c>
      <c r="I24" s="3"/>
    </row>
    <row r="25" spans="1:9">
      <c r="A25" s="2">
        <v>19</v>
      </c>
      <c r="B25" s="3" t="s">
        <v>32</v>
      </c>
      <c r="C25" s="4" t="s">
        <v>30</v>
      </c>
      <c r="D25" s="3" t="s">
        <v>10</v>
      </c>
      <c r="E25" s="3">
        <v>85</v>
      </c>
      <c r="F25" s="3" t="s">
        <v>11</v>
      </c>
      <c r="G25" s="3" t="s">
        <v>31</v>
      </c>
      <c r="H25" s="5">
        <v>46203</v>
      </c>
      <c r="I25" s="3"/>
    </row>
    <row r="26" spans="1:9">
      <c r="A26" s="2">
        <v>20</v>
      </c>
      <c r="B26" s="3" t="s">
        <v>33</v>
      </c>
      <c r="C26" s="4" t="s">
        <v>30</v>
      </c>
      <c r="D26" s="3" t="s">
        <v>10</v>
      </c>
      <c r="E26" s="3">
        <v>64</v>
      </c>
      <c r="F26" s="3" t="s">
        <v>11</v>
      </c>
      <c r="G26" s="3" t="s">
        <v>31</v>
      </c>
      <c r="H26" s="5">
        <v>46203</v>
      </c>
      <c r="I26" s="3"/>
    </row>
    <row r="27" spans="1:9">
      <c r="A27" s="2">
        <v>21</v>
      </c>
      <c r="B27" s="3" t="s">
        <v>34</v>
      </c>
      <c r="C27" s="4" t="s">
        <v>30</v>
      </c>
      <c r="D27" s="3" t="s">
        <v>10</v>
      </c>
      <c r="E27" s="3">
        <v>64</v>
      </c>
      <c r="F27" s="3" t="s">
        <v>11</v>
      </c>
      <c r="G27" s="3" t="s">
        <v>31</v>
      </c>
      <c r="H27" s="5">
        <v>46203</v>
      </c>
      <c r="I27" s="3"/>
    </row>
    <row r="28" spans="1:9">
      <c r="A28" s="2">
        <v>22</v>
      </c>
      <c r="B28" s="3" t="s">
        <v>35</v>
      </c>
      <c r="C28" s="4" t="s">
        <v>30</v>
      </c>
      <c r="D28" s="3" t="s">
        <v>10</v>
      </c>
      <c r="E28" s="3">
        <v>64</v>
      </c>
      <c r="F28" s="3" t="s">
        <v>11</v>
      </c>
      <c r="G28" s="3" t="s">
        <v>31</v>
      </c>
      <c r="H28" s="5">
        <v>46203</v>
      </c>
      <c r="I28" s="3"/>
    </row>
    <row r="29" spans="1:9">
      <c r="A29" s="2">
        <v>23</v>
      </c>
      <c r="B29" s="3" t="s">
        <v>36</v>
      </c>
      <c r="C29" s="4" t="s">
        <v>30</v>
      </c>
      <c r="D29" s="3" t="s">
        <v>10</v>
      </c>
      <c r="E29" s="3">
        <v>105</v>
      </c>
      <c r="F29" s="3" t="s">
        <v>11</v>
      </c>
      <c r="G29" s="3" t="s">
        <v>31</v>
      </c>
      <c r="H29" s="5">
        <v>46203</v>
      </c>
      <c r="I29" s="3"/>
    </row>
    <row r="30" spans="1:9">
      <c r="A30" s="2">
        <v>24</v>
      </c>
      <c r="B30" s="3" t="s">
        <v>37</v>
      </c>
      <c r="C30" s="4" t="s">
        <v>30</v>
      </c>
      <c r="D30" s="3" t="s">
        <v>10</v>
      </c>
      <c r="E30" s="3">
        <v>55</v>
      </c>
      <c r="F30" s="3" t="s">
        <v>11</v>
      </c>
      <c r="G30" s="3" t="s">
        <v>31</v>
      </c>
      <c r="H30" s="5">
        <v>46203</v>
      </c>
      <c r="I30" s="3"/>
    </row>
    <row r="31" spans="1:9">
      <c r="A31" s="2">
        <v>25</v>
      </c>
      <c r="B31" s="3" t="s">
        <v>38</v>
      </c>
      <c r="C31" s="4" t="s">
        <v>30</v>
      </c>
      <c r="D31" s="3" t="s">
        <v>10</v>
      </c>
      <c r="E31" s="3">
        <v>80</v>
      </c>
      <c r="F31" s="3" t="s">
        <v>11</v>
      </c>
      <c r="G31" s="3" t="s">
        <v>31</v>
      </c>
      <c r="H31" s="5">
        <v>46203</v>
      </c>
      <c r="I31" s="3"/>
    </row>
    <row r="32" spans="1:9">
      <c r="A32" s="2">
        <v>26</v>
      </c>
      <c r="B32" s="3" t="s">
        <v>39</v>
      </c>
      <c r="C32" s="4" t="s">
        <v>30</v>
      </c>
      <c r="D32" s="3" t="s">
        <v>10</v>
      </c>
      <c r="E32" s="3">
        <v>245</v>
      </c>
      <c r="F32" s="3" t="s">
        <v>11</v>
      </c>
      <c r="G32" s="3" t="s">
        <v>31</v>
      </c>
      <c r="H32" s="5">
        <v>46203</v>
      </c>
      <c r="I32" s="3"/>
    </row>
    <row r="33" spans="1:9">
      <c r="A33" s="2">
        <v>27</v>
      </c>
      <c r="B33" s="3" t="s">
        <v>40</v>
      </c>
      <c r="C33" s="4" t="s">
        <v>30</v>
      </c>
      <c r="D33" s="3" t="s">
        <v>10</v>
      </c>
      <c r="E33" s="3">
        <v>80</v>
      </c>
      <c r="F33" s="3" t="s">
        <v>11</v>
      </c>
      <c r="G33" s="3" t="s">
        <v>31</v>
      </c>
      <c r="H33" s="5">
        <v>46203</v>
      </c>
      <c r="I33" s="3"/>
    </row>
    <row r="34" spans="1:9">
      <c r="A34" s="2">
        <v>28</v>
      </c>
      <c r="B34" s="3" t="s">
        <v>41</v>
      </c>
      <c r="C34" s="4" t="s">
        <v>30</v>
      </c>
      <c r="D34" s="3" t="s">
        <v>10</v>
      </c>
      <c r="E34" s="3">
        <v>85</v>
      </c>
      <c r="F34" s="3" t="s">
        <v>11</v>
      </c>
      <c r="G34" s="3" t="s">
        <v>31</v>
      </c>
      <c r="H34" s="5">
        <v>46203</v>
      </c>
      <c r="I34" s="3"/>
    </row>
    <row r="35" spans="1:9">
      <c r="A35" s="2">
        <v>29</v>
      </c>
      <c r="B35" s="3" t="s">
        <v>42</v>
      </c>
      <c r="C35" s="4" t="s">
        <v>30</v>
      </c>
      <c r="D35" s="3" t="s">
        <v>10</v>
      </c>
      <c r="E35" s="3">
        <v>85</v>
      </c>
      <c r="F35" s="3" t="s">
        <v>11</v>
      </c>
      <c r="G35" s="3" t="s">
        <v>31</v>
      </c>
      <c r="H35" s="5">
        <v>46203</v>
      </c>
      <c r="I35" s="3"/>
    </row>
    <row r="36" spans="1:9">
      <c r="A36" s="2">
        <v>30</v>
      </c>
      <c r="B36" s="3" t="s">
        <v>43</v>
      </c>
      <c r="C36" s="4" t="s">
        <v>30</v>
      </c>
      <c r="D36" s="3" t="s">
        <v>10</v>
      </c>
      <c r="E36" s="3">
        <v>80</v>
      </c>
      <c r="F36" s="3" t="s">
        <v>11</v>
      </c>
      <c r="G36" s="3" t="s">
        <v>31</v>
      </c>
      <c r="H36" s="5">
        <v>46203</v>
      </c>
      <c r="I36" s="3"/>
    </row>
    <row r="37" spans="1:9">
      <c r="A37" s="2">
        <v>31</v>
      </c>
      <c r="B37" s="3" t="s">
        <v>44</v>
      </c>
      <c r="C37" s="4" t="s">
        <v>30</v>
      </c>
      <c r="D37" s="3" t="s">
        <v>10</v>
      </c>
      <c r="E37" s="3">
        <v>55</v>
      </c>
      <c r="F37" s="3" t="s">
        <v>11</v>
      </c>
      <c r="G37" s="3" t="s">
        <v>31</v>
      </c>
      <c r="H37" s="5">
        <v>46203</v>
      </c>
      <c r="I37" s="3"/>
    </row>
    <row r="38" spans="1:9">
      <c r="A38" s="2">
        <v>32</v>
      </c>
      <c r="B38" s="3" t="s">
        <v>45</v>
      </c>
      <c r="C38" s="4" t="s">
        <v>30</v>
      </c>
      <c r="D38" s="3" t="s">
        <v>10</v>
      </c>
      <c r="E38" s="3">
        <v>55</v>
      </c>
      <c r="F38" s="3" t="s">
        <v>11</v>
      </c>
      <c r="G38" s="3" t="s">
        <v>31</v>
      </c>
      <c r="H38" s="5">
        <v>46203</v>
      </c>
      <c r="I38" s="3"/>
    </row>
    <row r="39" spans="1:9">
      <c r="A39" s="2">
        <v>33</v>
      </c>
      <c r="B39" s="3" t="s">
        <v>46</v>
      </c>
      <c r="C39" s="4" t="s">
        <v>30</v>
      </c>
      <c r="D39" s="3" t="s">
        <v>10</v>
      </c>
      <c r="E39" s="3">
        <v>87</v>
      </c>
      <c r="F39" s="3" t="s">
        <v>11</v>
      </c>
      <c r="G39" s="3" t="s">
        <v>31</v>
      </c>
      <c r="H39" s="5">
        <v>46203</v>
      </c>
      <c r="I39" s="3"/>
    </row>
    <row r="40" spans="1:9">
      <c r="A40" s="2">
        <v>34</v>
      </c>
      <c r="B40" s="3" t="s">
        <v>47</v>
      </c>
      <c r="C40" s="4" t="s">
        <v>30</v>
      </c>
      <c r="D40" s="3" t="s">
        <v>10</v>
      </c>
      <c r="E40" s="3">
        <v>85</v>
      </c>
      <c r="F40" s="3" t="s">
        <v>11</v>
      </c>
      <c r="G40" s="3" t="s">
        <v>31</v>
      </c>
      <c r="H40" s="5">
        <v>46203</v>
      </c>
      <c r="I40" s="3"/>
    </row>
    <row r="41" spans="1:9">
      <c r="A41" s="2">
        <v>35</v>
      </c>
      <c r="B41" s="3" t="s">
        <v>48</v>
      </c>
      <c r="C41" s="4" t="s">
        <v>30</v>
      </c>
      <c r="D41" s="3" t="s">
        <v>10</v>
      </c>
      <c r="E41" s="3">
        <v>37</v>
      </c>
      <c r="F41" s="3" t="s">
        <v>11</v>
      </c>
      <c r="G41" s="3" t="s">
        <v>31</v>
      </c>
      <c r="H41" s="5">
        <v>46203</v>
      </c>
      <c r="I41" s="3"/>
    </row>
    <row r="42" spans="1:9">
      <c r="A42" s="2">
        <v>36</v>
      </c>
      <c r="B42" s="3" t="s">
        <v>49</v>
      </c>
      <c r="C42" s="4" t="s">
        <v>30</v>
      </c>
      <c r="D42" s="3" t="s">
        <v>10</v>
      </c>
      <c r="E42" s="3">
        <v>85</v>
      </c>
      <c r="F42" s="3" t="s">
        <v>11</v>
      </c>
      <c r="G42" s="3" t="s">
        <v>31</v>
      </c>
      <c r="H42" s="5">
        <v>46203</v>
      </c>
      <c r="I42" s="3"/>
    </row>
    <row r="43" spans="1:9">
      <c r="A43" s="2">
        <v>37</v>
      </c>
      <c r="B43" s="3" t="s">
        <v>50</v>
      </c>
      <c r="C43" s="4" t="s">
        <v>30</v>
      </c>
      <c r="D43" s="3" t="s">
        <v>10</v>
      </c>
      <c r="E43" s="3">
        <v>110</v>
      </c>
      <c r="F43" s="3" t="s">
        <v>11</v>
      </c>
      <c r="G43" s="3" t="s">
        <v>31</v>
      </c>
      <c r="H43" s="5">
        <v>46203</v>
      </c>
      <c r="I43" s="3"/>
    </row>
    <row r="44" spans="1:9">
      <c r="A44" s="2">
        <v>38</v>
      </c>
      <c r="B44" s="3" t="s">
        <v>51</v>
      </c>
      <c r="C44" s="4" t="s">
        <v>30</v>
      </c>
      <c r="D44" s="3" t="s">
        <v>10</v>
      </c>
      <c r="E44" s="3">
        <v>80</v>
      </c>
      <c r="F44" s="3" t="s">
        <v>11</v>
      </c>
      <c r="G44" s="3" t="s">
        <v>31</v>
      </c>
      <c r="H44" s="5">
        <v>46203</v>
      </c>
      <c r="I44" s="3"/>
    </row>
    <row r="45" spans="1:9">
      <c r="A45" s="2">
        <v>39</v>
      </c>
      <c r="B45" s="3" t="s">
        <v>52</v>
      </c>
      <c r="C45" s="4" t="s">
        <v>30</v>
      </c>
      <c r="D45" s="3" t="s">
        <v>10</v>
      </c>
      <c r="E45" s="3">
        <v>80</v>
      </c>
      <c r="F45" s="3" t="s">
        <v>11</v>
      </c>
      <c r="G45" s="3" t="s">
        <v>31</v>
      </c>
      <c r="H45" s="5">
        <v>46203</v>
      </c>
      <c r="I45" s="3"/>
    </row>
    <row r="46" spans="1:9">
      <c r="A46" s="2">
        <v>40</v>
      </c>
      <c r="B46" s="3" t="s">
        <v>53</v>
      </c>
      <c r="C46" s="4" t="s">
        <v>30</v>
      </c>
      <c r="D46" s="3" t="s">
        <v>10</v>
      </c>
      <c r="E46" s="3">
        <v>80</v>
      </c>
      <c r="F46" s="3" t="s">
        <v>11</v>
      </c>
      <c r="G46" s="3" t="s">
        <v>31</v>
      </c>
      <c r="H46" s="5">
        <v>46203</v>
      </c>
      <c r="I46" s="3"/>
    </row>
    <row r="47" spans="1:9">
      <c r="A47" s="2">
        <v>41</v>
      </c>
      <c r="B47" s="3" t="s">
        <v>54</v>
      </c>
      <c r="C47" s="4" t="s">
        <v>30</v>
      </c>
      <c r="D47" s="3" t="s">
        <v>10</v>
      </c>
      <c r="E47" s="3">
        <v>125</v>
      </c>
      <c r="F47" s="3" t="s">
        <v>11</v>
      </c>
      <c r="G47" s="3" t="s">
        <v>31</v>
      </c>
      <c r="H47" s="5">
        <v>46203</v>
      </c>
      <c r="I47" s="3"/>
    </row>
    <row r="48" spans="1:9">
      <c r="A48" s="2">
        <v>42</v>
      </c>
      <c r="B48" s="3" t="s">
        <v>55</v>
      </c>
      <c r="C48" s="4" t="s">
        <v>30</v>
      </c>
      <c r="D48" s="3" t="s">
        <v>10</v>
      </c>
      <c r="E48" s="3">
        <v>50</v>
      </c>
      <c r="F48" s="3" t="s">
        <v>11</v>
      </c>
      <c r="G48" s="3" t="s">
        <v>31</v>
      </c>
      <c r="H48" s="5">
        <v>46203</v>
      </c>
      <c r="I48" s="3"/>
    </row>
    <row r="49" spans="1:9">
      <c r="A49" s="2">
        <v>43</v>
      </c>
      <c r="B49" s="3" t="s">
        <v>56</v>
      </c>
      <c r="C49" s="4" t="s">
        <v>30</v>
      </c>
      <c r="D49" s="3" t="s">
        <v>10</v>
      </c>
      <c r="E49" s="3">
        <v>60</v>
      </c>
      <c r="F49" s="3" t="s">
        <v>11</v>
      </c>
      <c r="G49" s="3" t="s">
        <v>31</v>
      </c>
      <c r="H49" s="5">
        <v>46203</v>
      </c>
      <c r="I49" s="3"/>
    </row>
    <row r="50" spans="1:9">
      <c r="A50" s="2">
        <v>44</v>
      </c>
      <c r="B50" s="3" t="s">
        <v>57</v>
      </c>
      <c r="C50" s="4" t="s">
        <v>30</v>
      </c>
      <c r="D50" s="3" t="s">
        <v>10</v>
      </c>
      <c r="E50" s="3">
        <v>55</v>
      </c>
      <c r="F50" s="3" t="s">
        <v>11</v>
      </c>
      <c r="G50" s="3" t="s">
        <v>31</v>
      </c>
      <c r="H50" s="5">
        <v>46203</v>
      </c>
      <c r="I50" s="3"/>
    </row>
    <row r="51" spans="1:9">
      <c r="A51" s="2">
        <v>45</v>
      </c>
      <c r="B51" s="3" t="s">
        <v>58</v>
      </c>
      <c r="C51" s="4" t="s">
        <v>30</v>
      </c>
      <c r="D51" s="3" t="s">
        <v>10</v>
      </c>
      <c r="E51" s="3">
        <v>180</v>
      </c>
      <c r="F51" s="3" t="s">
        <v>11</v>
      </c>
      <c r="G51" s="3" t="s">
        <v>31</v>
      </c>
      <c r="H51" s="5">
        <v>46203</v>
      </c>
      <c r="I51" s="3"/>
    </row>
    <row r="52" spans="1:9">
      <c r="A52" s="2">
        <v>46</v>
      </c>
      <c r="B52" s="3" t="s">
        <v>59</v>
      </c>
      <c r="C52" s="4" t="s">
        <v>30</v>
      </c>
      <c r="D52" s="3" t="s">
        <v>10</v>
      </c>
      <c r="E52" s="3">
        <v>73</v>
      </c>
      <c r="F52" s="3" t="s">
        <v>11</v>
      </c>
      <c r="G52" s="3" t="s">
        <v>31</v>
      </c>
      <c r="H52" s="5">
        <v>46203</v>
      </c>
      <c r="I52" s="3"/>
    </row>
    <row r="53" spans="1:9">
      <c r="A53" s="2">
        <v>47</v>
      </c>
      <c r="B53" s="3" t="s">
        <v>60</v>
      </c>
      <c r="C53" s="4" t="s">
        <v>30</v>
      </c>
      <c r="D53" s="3" t="s">
        <v>10</v>
      </c>
      <c r="E53" s="3">
        <v>73</v>
      </c>
      <c r="F53" s="3" t="s">
        <v>11</v>
      </c>
      <c r="G53" s="3" t="s">
        <v>31</v>
      </c>
      <c r="H53" s="5">
        <v>46203</v>
      </c>
      <c r="I53" s="3"/>
    </row>
    <row r="54" spans="1:9">
      <c r="A54" s="2">
        <v>48</v>
      </c>
      <c r="B54" s="3" t="s">
        <v>61</v>
      </c>
      <c r="C54" s="4" t="s">
        <v>30</v>
      </c>
      <c r="D54" s="3" t="s">
        <v>10</v>
      </c>
      <c r="E54" s="3">
        <v>93</v>
      </c>
      <c r="F54" s="3" t="s">
        <v>11</v>
      </c>
      <c r="G54" s="3" t="s">
        <v>31</v>
      </c>
      <c r="H54" s="5">
        <v>46203</v>
      </c>
      <c r="I54" s="3"/>
    </row>
    <row r="55" spans="1:9">
      <c r="A55" s="2">
        <v>49</v>
      </c>
      <c r="B55" s="3" t="s">
        <v>62</v>
      </c>
      <c r="C55" s="4" t="s">
        <v>30</v>
      </c>
      <c r="D55" s="3" t="s">
        <v>10</v>
      </c>
      <c r="E55" s="3">
        <v>135</v>
      </c>
      <c r="F55" s="3" t="s">
        <v>11</v>
      </c>
      <c r="G55" s="3" t="s">
        <v>31</v>
      </c>
      <c r="H55" s="5">
        <v>46203</v>
      </c>
      <c r="I55" s="3"/>
    </row>
    <row r="56" spans="1:9">
      <c r="A56" s="2">
        <v>50</v>
      </c>
      <c r="B56" s="3" t="s">
        <v>63</v>
      </c>
      <c r="C56" s="4" t="s">
        <v>30</v>
      </c>
      <c r="D56" s="3" t="s">
        <v>10</v>
      </c>
      <c r="E56" s="3">
        <v>75</v>
      </c>
      <c r="F56" s="3" t="s">
        <v>11</v>
      </c>
      <c r="G56" s="3" t="s">
        <v>31</v>
      </c>
      <c r="H56" s="5">
        <v>46203</v>
      </c>
      <c r="I56" s="3"/>
    </row>
    <row r="57" spans="1:9">
      <c r="A57" s="2">
        <v>51</v>
      </c>
      <c r="B57" s="3" t="s">
        <v>64</v>
      </c>
      <c r="C57" s="4" t="s">
        <v>65</v>
      </c>
      <c r="D57" s="3" t="s">
        <v>10</v>
      </c>
      <c r="E57" s="3">
        <v>122</v>
      </c>
      <c r="F57" s="3" t="s">
        <v>4</v>
      </c>
      <c r="G57" s="3" t="s">
        <v>66</v>
      </c>
      <c r="H57" s="5">
        <v>46203</v>
      </c>
      <c r="I57" s="3"/>
    </row>
    <row r="58" spans="1:9">
      <c r="A58" s="2">
        <v>52</v>
      </c>
      <c r="B58" s="3" t="s">
        <v>67</v>
      </c>
      <c r="C58" s="4" t="s">
        <v>65</v>
      </c>
      <c r="D58" s="3" t="s">
        <v>10</v>
      </c>
      <c r="E58" s="3">
        <v>65</v>
      </c>
      <c r="F58" s="3" t="s">
        <v>4</v>
      </c>
      <c r="G58" s="3" t="s">
        <v>66</v>
      </c>
      <c r="H58" s="5">
        <v>46203</v>
      </c>
      <c r="I58" s="3"/>
    </row>
    <row r="59" spans="1:9">
      <c r="A59" s="2">
        <v>53</v>
      </c>
      <c r="B59" s="3" t="s">
        <v>68</v>
      </c>
      <c r="C59" s="4" t="s">
        <v>65</v>
      </c>
      <c r="D59" s="3" t="s">
        <v>10</v>
      </c>
      <c r="E59" s="3">
        <v>58</v>
      </c>
      <c r="F59" s="3" t="s">
        <v>4</v>
      </c>
      <c r="G59" s="3" t="s">
        <v>66</v>
      </c>
      <c r="H59" s="5">
        <v>46203</v>
      </c>
      <c r="I59" s="3"/>
    </row>
    <row r="60" spans="1:9">
      <c r="A60" s="2">
        <v>54</v>
      </c>
      <c r="B60" s="3" t="s">
        <v>69</v>
      </c>
      <c r="C60" s="4" t="s">
        <v>65</v>
      </c>
      <c r="D60" s="3" t="s">
        <v>10</v>
      </c>
      <c r="E60" s="3">
        <v>90</v>
      </c>
      <c r="F60" s="3" t="s">
        <v>4</v>
      </c>
      <c r="G60" s="3" t="s">
        <v>66</v>
      </c>
      <c r="H60" s="5">
        <v>46203</v>
      </c>
      <c r="I60" s="3"/>
    </row>
    <row r="61" spans="1:9">
      <c r="A61" s="2">
        <v>55</v>
      </c>
      <c r="B61" s="3" t="s">
        <v>70</v>
      </c>
      <c r="C61" s="4" t="s">
        <v>65</v>
      </c>
      <c r="D61" s="3" t="s">
        <v>10</v>
      </c>
      <c r="E61" s="3">
        <v>77</v>
      </c>
      <c r="F61" s="3" t="s">
        <v>4</v>
      </c>
      <c r="G61" s="3" t="s">
        <v>66</v>
      </c>
      <c r="H61" s="5">
        <v>46203</v>
      </c>
      <c r="I61" s="3"/>
    </row>
    <row r="62" spans="1:9">
      <c r="A62" s="2">
        <v>56</v>
      </c>
      <c r="B62" s="3" t="s">
        <v>71</v>
      </c>
      <c r="C62" s="4" t="s">
        <v>65</v>
      </c>
      <c r="D62" s="3" t="s">
        <v>10</v>
      </c>
      <c r="E62" s="3">
        <v>56</v>
      </c>
      <c r="F62" s="3" t="s">
        <v>4</v>
      </c>
      <c r="G62" s="3" t="s">
        <v>66</v>
      </c>
      <c r="H62" s="5">
        <v>46203</v>
      </c>
      <c r="I62" s="3"/>
    </row>
    <row r="63" spans="1:9">
      <c r="A63" s="2">
        <v>57</v>
      </c>
      <c r="B63" s="3" t="s">
        <v>72</v>
      </c>
      <c r="C63" s="4" t="s">
        <v>65</v>
      </c>
      <c r="D63" s="3" t="s">
        <v>10</v>
      </c>
      <c r="E63" s="3">
        <v>105</v>
      </c>
      <c r="F63" s="3" t="s">
        <v>4</v>
      </c>
      <c r="G63" s="3" t="s">
        <v>66</v>
      </c>
      <c r="H63" s="5">
        <v>46203</v>
      </c>
      <c r="I63" s="3"/>
    </row>
    <row r="64" spans="1:9">
      <c r="A64" s="2">
        <v>58</v>
      </c>
      <c r="B64" s="3" t="s">
        <v>73</v>
      </c>
      <c r="C64" s="4" t="s">
        <v>65</v>
      </c>
      <c r="D64" s="3" t="s">
        <v>10</v>
      </c>
      <c r="E64" s="3">
        <v>57</v>
      </c>
      <c r="F64" s="3" t="s">
        <v>4</v>
      </c>
      <c r="G64" s="3" t="s">
        <v>66</v>
      </c>
      <c r="H64" s="5">
        <v>46203</v>
      </c>
      <c r="I64" s="3"/>
    </row>
    <row r="65" spans="1:9">
      <c r="A65" s="2">
        <v>59</v>
      </c>
      <c r="B65" s="3" t="s">
        <v>74</v>
      </c>
      <c r="C65" s="4" t="s">
        <v>65</v>
      </c>
      <c r="D65" s="3" t="s">
        <v>10</v>
      </c>
      <c r="E65" s="3">
        <v>58</v>
      </c>
      <c r="F65" s="3" t="s">
        <v>4</v>
      </c>
      <c r="G65" s="3" t="s">
        <v>66</v>
      </c>
      <c r="H65" s="5">
        <v>46203</v>
      </c>
      <c r="I65" s="3"/>
    </row>
    <row r="66" spans="1:9">
      <c r="A66" s="2">
        <v>60</v>
      </c>
      <c r="B66" s="3" t="s">
        <v>75</v>
      </c>
      <c r="C66" s="4" t="s">
        <v>65</v>
      </c>
      <c r="D66" s="3" t="s">
        <v>10</v>
      </c>
      <c r="E66" s="3">
        <v>37</v>
      </c>
      <c r="F66" s="3" t="s">
        <v>4</v>
      </c>
      <c r="G66" s="3" t="s">
        <v>66</v>
      </c>
      <c r="H66" s="5">
        <v>46203</v>
      </c>
      <c r="I66" s="3"/>
    </row>
    <row r="67" spans="1:9">
      <c r="A67" s="2">
        <v>61</v>
      </c>
      <c r="B67" s="3" t="s">
        <v>76</v>
      </c>
      <c r="C67" s="4" t="s">
        <v>65</v>
      </c>
      <c r="D67" s="3" t="s">
        <v>10</v>
      </c>
      <c r="E67" s="3">
        <v>134</v>
      </c>
      <c r="F67" s="3" t="s">
        <v>4</v>
      </c>
      <c r="G67" s="3" t="s">
        <v>66</v>
      </c>
      <c r="H67" s="5">
        <v>46203</v>
      </c>
      <c r="I67" s="3"/>
    </row>
    <row r="68" spans="1:9">
      <c r="A68" s="2">
        <v>62</v>
      </c>
      <c r="B68" s="3" t="s">
        <v>77</v>
      </c>
      <c r="C68" s="4" t="s">
        <v>65</v>
      </c>
      <c r="D68" s="3" t="s">
        <v>10</v>
      </c>
      <c r="E68" s="3">
        <v>32</v>
      </c>
      <c r="F68" s="3" t="s">
        <v>4</v>
      </c>
      <c r="G68" s="3" t="s">
        <v>66</v>
      </c>
      <c r="H68" s="5">
        <v>46203</v>
      </c>
      <c r="I68" s="3"/>
    </row>
    <row r="69" spans="1:9">
      <c r="A69" s="2">
        <v>63</v>
      </c>
      <c r="B69" s="3" t="s">
        <v>78</v>
      </c>
      <c r="C69" s="4" t="s">
        <v>65</v>
      </c>
      <c r="D69" s="3" t="s">
        <v>10</v>
      </c>
      <c r="E69" s="3">
        <v>47</v>
      </c>
      <c r="F69" s="3" t="s">
        <v>4</v>
      </c>
      <c r="G69" s="3" t="s">
        <v>66</v>
      </c>
      <c r="H69" s="5">
        <v>46203</v>
      </c>
      <c r="I69" s="3"/>
    </row>
    <row r="70" spans="1:9">
      <c r="A70" s="2">
        <v>64</v>
      </c>
      <c r="B70" s="3" t="s">
        <v>79</v>
      </c>
      <c r="C70" s="4" t="s">
        <v>65</v>
      </c>
      <c r="D70" s="3" t="s">
        <v>10</v>
      </c>
      <c r="E70" s="3">
        <v>56</v>
      </c>
      <c r="F70" s="3" t="s">
        <v>4</v>
      </c>
      <c r="G70" s="3" t="s">
        <v>66</v>
      </c>
      <c r="H70" s="5">
        <v>46203</v>
      </c>
      <c r="I70" s="3"/>
    </row>
    <row r="71" spans="1:9">
      <c r="A71" s="2">
        <v>65</v>
      </c>
      <c r="B71" s="3" t="s">
        <v>80</v>
      </c>
      <c r="C71" s="4" t="s">
        <v>65</v>
      </c>
      <c r="D71" s="3" t="s">
        <v>10</v>
      </c>
      <c r="E71" s="3">
        <v>73</v>
      </c>
      <c r="F71" s="3" t="s">
        <v>4</v>
      </c>
      <c r="G71" s="3" t="s">
        <v>66</v>
      </c>
      <c r="H71" s="5">
        <v>46203</v>
      </c>
      <c r="I71" s="3"/>
    </row>
    <row r="72" spans="1:9">
      <c r="A72" s="2">
        <v>66</v>
      </c>
      <c r="B72" s="3" t="s">
        <v>81</v>
      </c>
      <c r="C72" s="4" t="s">
        <v>65</v>
      </c>
      <c r="D72" s="3" t="s">
        <v>10</v>
      </c>
      <c r="E72" s="3">
        <v>34</v>
      </c>
      <c r="F72" s="3" t="s">
        <v>4</v>
      </c>
      <c r="G72" s="3" t="s">
        <v>66</v>
      </c>
      <c r="H72" s="5">
        <v>46203</v>
      </c>
      <c r="I72" s="3"/>
    </row>
    <row r="73" spans="1:9">
      <c r="A73" s="2">
        <v>67</v>
      </c>
      <c r="B73" s="3" t="s">
        <v>82</v>
      </c>
      <c r="C73" s="4" t="s">
        <v>65</v>
      </c>
      <c r="D73" s="3" t="s">
        <v>10</v>
      </c>
      <c r="E73" s="3">
        <v>42</v>
      </c>
      <c r="F73" s="3" t="s">
        <v>4</v>
      </c>
      <c r="G73" s="3" t="s">
        <v>66</v>
      </c>
      <c r="H73" s="5">
        <v>46203</v>
      </c>
      <c r="I73" s="3"/>
    </row>
    <row r="74" spans="1:9">
      <c r="A74" s="2">
        <v>68</v>
      </c>
      <c r="B74" s="3" t="s">
        <v>83</v>
      </c>
      <c r="C74" s="4" t="s">
        <v>65</v>
      </c>
      <c r="D74" s="3" t="s">
        <v>10</v>
      </c>
      <c r="E74" s="3">
        <v>27</v>
      </c>
      <c r="F74" s="3" t="s">
        <v>4</v>
      </c>
      <c r="G74" s="3" t="s">
        <v>66</v>
      </c>
      <c r="H74" s="5">
        <v>46203</v>
      </c>
      <c r="I74" s="3"/>
    </row>
    <row r="75" spans="1:9">
      <c r="A75" s="2">
        <v>69</v>
      </c>
      <c r="B75" s="3" t="s">
        <v>84</v>
      </c>
      <c r="C75" s="4" t="s">
        <v>65</v>
      </c>
      <c r="D75" s="3" t="s">
        <v>10</v>
      </c>
      <c r="E75" s="3">
        <v>57</v>
      </c>
      <c r="F75" s="3" t="s">
        <v>4</v>
      </c>
      <c r="G75" s="3" t="s">
        <v>66</v>
      </c>
      <c r="H75" s="5">
        <v>46203</v>
      </c>
      <c r="I75" s="3"/>
    </row>
    <row r="76" spans="1:9">
      <c r="A76" s="2">
        <v>70</v>
      </c>
      <c r="B76" s="3" t="s">
        <v>85</v>
      </c>
      <c r="C76" s="4" t="s">
        <v>65</v>
      </c>
      <c r="D76" s="3" t="s">
        <v>10</v>
      </c>
      <c r="E76" s="3">
        <v>37</v>
      </c>
      <c r="F76" s="3" t="s">
        <v>4</v>
      </c>
      <c r="G76" s="3" t="s">
        <v>66</v>
      </c>
      <c r="H76" s="5">
        <v>46203</v>
      </c>
      <c r="I76" s="3"/>
    </row>
    <row r="77" spans="1:9">
      <c r="A77" s="2">
        <v>71</v>
      </c>
      <c r="B77" s="3" t="s">
        <v>86</v>
      </c>
      <c r="C77" s="4" t="s">
        <v>65</v>
      </c>
      <c r="D77" s="3" t="s">
        <v>10</v>
      </c>
      <c r="E77" s="3">
        <v>136</v>
      </c>
      <c r="F77" s="3" t="s">
        <v>4</v>
      </c>
      <c r="G77" s="3" t="s">
        <v>66</v>
      </c>
      <c r="H77" s="5">
        <v>46203</v>
      </c>
      <c r="I77" s="3"/>
    </row>
    <row r="78" spans="1:9">
      <c r="A78" s="2">
        <v>72</v>
      </c>
      <c r="B78" s="3" t="s">
        <v>87</v>
      </c>
      <c r="C78" s="4" t="s">
        <v>88</v>
      </c>
      <c r="D78" s="3" t="s">
        <v>10</v>
      </c>
      <c r="E78" s="3">
        <v>210</v>
      </c>
      <c r="F78" s="3" t="s">
        <v>11</v>
      </c>
      <c r="G78" s="3" t="s">
        <v>89</v>
      </c>
      <c r="H78" s="5">
        <v>46203</v>
      </c>
      <c r="I78" s="3"/>
    </row>
    <row r="79" spans="1:9">
      <c r="A79" s="2">
        <v>73</v>
      </c>
      <c r="B79" s="3" t="s">
        <v>90</v>
      </c>
      <c r="C79" s="4" t="s">
        <v>88</v>
      </c>
      <c r="D79" s="3" t="s">
        <v>10</v>
      </c>
      <c r="E79" s="3">
        <v>115</v>
      </c>
      <c r="F79" s="3" t="s">
        <v>11</v>
      </c>
      <c r="G79" s="3" t="s">
        <v>89</v>
      </c>
      <c r="H79" s="5">
        <v>46203</v>
      </c>
      <c r="I79" s="3"/>
    </row>
    <row r="80" spans="1:9">
      <c r="A80" s="2">
        <v>74</v>
      </c>
      <c r="B80" s="3" t="s">
        <v>91</v>
      </c>
      <c r="C80" s="4" t="s">
        <v>88</v>
      </c>
      <c r="D80" s="3" t="s">
        <v>10</v>
      </c>
      <c r="E80" s="3">
        <v>150</v>
      </c>
      <c r="F80" s="3" t="s">
        <v>11</v>
      </c>
      <c r="G80" s="3" t="s">
        <v>89</v>
      </c>
      <c r="H80" s="5">
        <v>46203</v>
      </c>
      <c r="I80" s="3"/>
    </row>
    <row r="81" spans="1:9">
      <c r="A81" s="2">
        <v>75</v>
      </c>
      <c r="B81" s="3" t="s">
        <v>92</v>
      </c>
      <c r="C81" s="4" t="s">
        <v>88</v>
      </c>
      <c r="D81" s="3" t="s">
        <v>10</v>
      </c>
      <c r="E81" s="3">
        <v>185</v>
      </c>
      <c r="F81" s="3" t="s">
        <v>11</v>
      </c>
      <c r="G81" s="3" t="s">
        <v>89</v>
      </c>
      <c r="H81" s="5">
        <v>46203</v>
      </c>
      <c r="I81" s="3"/>
    </row>
    <row r="82" spans="1:9">
      <c r="A82" s="2">
        <v>76</v>
      </c>
      <c r="B82" s="3" t="s">
        <v>93</v>
      </c>
      <c r="C82" s="4" t="s">
        <v>88</v>
      </c>
      <c r="D82" s="3" t="s">
        <v>10</v>
      </c>
      <c r="E82" s="3">
        <v>150</v>
      </c>
      <c r="F82" s="3" t="s">
        <v>11</v>
      </c>
      <c r="G82" s="3" t="s">
        <v>89</v>
      </c>
      <c r="H82" s="5">
        <v>46203</v>
      </c>
      <c r="I82" s="3"/>
    </row>
    <row r="83" spans="1:9">
      <c r="A83" s="2">
        <v>77</v>
      </c>
      <c r="B83" s="3" t="s">
        <v>94</v>
      </c>
      <c r="C83" s="4" t="s">
        <v>88</v>
      </c>
      <c r="D83" s="3" t="s">
        <v>10</v>
      </c>
      <c r="E83" s="3">
        <v>180</v>
      </c>
      <c r="F83" s="3" t="s">
        <v>11</v>
      </c>
      <c r="G83" s="3" t="s">
        <v>89</v>
      </c>
      <c r="H83" s="5">
        <v>46203</v>
      </c>
      <c r="I83" s="3"/>
    </row>
    <row r="84" spans="1:9">
      <c r="A84" s="2">
        <v>78</v>
      </c>
      <c r="B84" s="3" t="s">
        <v>95</v>
      </c>
      <c r="C84" s="4" t="s">
        <v>88</v>
      </c>
      <c r="D84" s="3" t="s">
        <v>10</v>
      </c>
      <c r="E84" s="3">
        <v>105</v>
      </c>
      <c r="F84" s="3" t="s">
        <v>11</v>
      </c>
      <c r="G84" s="3" t="s">
        <v>89</v>
      </c>
      <c r="H84" s="5">
        <v>46203</v>
      </c>
      <c r="I84" s="3"/>
    </row>
    <row r="85" spans="1:9">
      <c r="A85" s="2">
        <v>79</v>
      </c>
      <c r="B85" s="3" t="s">
        <v>96</v>
      </c>
      <c r="C85" s="4" t="s">
        <v>88</v>
      </c>
      <c r="D85" s="3" t="s">
        <v>10</v>
      </c>
      <c r="E85" s="3">
        <v>260</v>
      </c>
      <c r="F85" s="3" t="s">
        <v>11</v>
      </c>
      <c r="G85" s="3" t="s">
        <v>89</v>
      </c>
      <c r="H85" s="5">
        <v>46203</v>
      </c>
      <c r="I85" s="3"/>
    </row>
    <row r="86" spans="1:9">
      <c r="A86" s="2">
        <v>80</v>
      </c>
      <c r="B86" s="3" t="s">
        <v>97</v>
      </c>
      <c r="C86" s="4" t="s">
        <v>88</v>
      </c>
      <c r="D86" s="3" t="s">
        <v>10</v>
      </c>
      <c r="E86" s="3">
        <v>200</v>
      </c>
      <c r="F86" s="3" t="s">
        <v>11</v>
      </c>
      <c r="G86" s="3" t="s">
        <v>89</v>
      </c>
      <c r="H86" s="5">
        <v>46203</v>
      </c>
      <c r="I86" s="3"/>
    </row>
    <row r="87" spans="1:9">
      <c r="A87" s="2">
        <v>81</v>
      </c>
      <c r="B87" s="3" t="s">
        <v>98</v>
      </c>
      <c r="C87" s="4" t="s">
        <v>88</v>
      </c>
      <c r="D87" s="3" t="s">
        <v>10</v>
      </c>
      <c r="E87" s="3">
        <v>130</v>
      </c>
      <c r="F87" s="3" t="s">
        <v>11</v>
      </c>
      <c r="G87" s="3" t="s">
        <v>89</v>
      </c>
      <c r="H87" s="5">
        <v>46203</v>
      </c>
      <c r="I87" s="3"/>
    </row>
    <row r="88" spans="1:9">
      <c r="A88" s="2">
        <v>82</v>
      </c>
      <c r="B88" s="3" t="s">
        <v>99</v>
      </c>
      <c r="C88" s="4" t="s">
        <v>88</v>
      </c>
      <c r="D88" s="3" t="s">
        <v>10</v>
      </c>
      <c r="E88" s="3">
        <v>280</v>
      </c>
      <c r="F88" s="3" t="s">
        <v>11</v>
      </c>
      <c r="G88" s="3" t="s">
        <v>89</v>
      </c>
      <c r="H88" s="5">
        <v>46203</v>
      </c>
      <c r="I88" s="3"/>
    </row>
    <row r="89" spans="1:9">
      <c r="A89" s="2">
        <v>83</v>
      </c>
      <c r="B89" s="3" t="s">
        <v>100</v>
      </c>
      <c r="C89" s="4" t="s">
        <v>88</v>
      </c>
      <c r="D89" s="3" t="s">
        <v>10</v>
      </c>
      <c r="E89" s="3">
        <v>120</v>
      </c>
      <c r="F89" s="3" t="s">
        <v>11</v>
      </c>
      <c r="G89" s="3" t="s">
        <v>89</v>
      </c>
      <c r="H89" s="5">
        <v>46203</v>
      </c>
      <c r="I89" s="3"/>
    </row>
    <row r="90" spans="1:9">
      <c r="A90" s="2">
        <v>84</v>
      </c>
      <c r="B90" s="3" t="s">
        <v>101</v>
      </c>
      <c r="C90" s="4" t="s">
        <v>88</v>
      </c>
      <c r="D90" s="3" t="s">
        <v>10</v>
      </c>
      <c r="E90" s="3">
        <v>180</v>
      </c>
      <c r="F90" s="3" t="s">
        <v>11</v>
      </c>
      <c r="G90" s="3" t="s">
        <v>89</v>
      </c>
      <c r="H90" s="5">
        <v>46203</v>
      </c>
      <c r="I90" s="3"/>
    </row>
    <row r="91" spans="1:9">
      <c r="A91" s="2">
        <v>85</v>
      </c>
      <c r="B91" s="3" t="s">
        <v>102</v>
      </c>
      <c r="C91" s="4" t="s">
        <v>88</v>
      </c>
      <c r="D91" s="3" t="s">
        <v>10</v>
      </c>
      <c r="E91" s="3">
        <v>225</v>
      </c>
      <c r="F91" s="3" t="s">
        <v>11</v>
      </c>
      <c r="G91" s="3" t="s">
        <v>89</v>
      </c>
      <c r="H91" s="5">
        <v>46203</v>
      </c>
      <c r="I91" s="3"/>
    </row>
    <row r="92" spans="1:9">
      <c r="A92" s="2">
        <v>86</v>
      </c>
      <c r="B92" s="3" t="s">
        <v>103</v>
      </c>
      <c r="C92" s="4" t="s">
        <v>88</v>
      </c>
      <c r="D92" s="3" t="s">
        <v>10</v>
      </c>
      <c r="E92" s="3">
        <v>290</v>
      </c>
      <c r="F92" s="3" t="s">
        <v>11</v>
      </c>
      <c r="G92" s="3" t="s">
        <v>89</v>
      </c>
      <c r="H92" s="5">
        <v>46203</v>
      </c>
      <c r="I92" s="3"/>
    </row>
    <row r="93" spans="1:9">
      <c r="A93" s="2">
        <v>87</v>
      </c>
      <c r="B93" s="3" t="s">
        <v>104</v>
      </c>
      <c r="C93" s="4" t="s">
        <v>88</v>
      </c>
      <c r="D93" s="3" t="s">
        <v>10</v>
      </c>
      <c r="E93" s="3">
        <v>210</v>
      </c>
      <c r="F93" s="3" t="s">
        <v>11</v>
      </c>
      <c r="G93" s="3" t="s">
        <v>89</v>
      </c>
      <c r="H93" s="5">
        <v>46203</v>
      </c>
      <c r="I93" s="3"/>
    </row>
    <row r="94" spans="1:9">
      <c r="A94" s="2">
        <v>88</v>
      </c>
      <c r="B94" s="3" t="s">
        <v>105</v>
      </c>
      <c r="C94" s="4" t="s">
        <v>88</v>
      </c>
      <c r="D94" s="3" t="s">
        <v>10</v>
      </c>
      <c r="E94" s="3">
        <v>140</v>
      </c>
      <c r="F94" s="3" t="s">
        <v>11</v>
      </c>
      <c r="G94" s="3" t="s">
        <v>89</v>
      </c>
      <c r="H94" s="5">
        <v>46203</v>
      </c>
      <c r="I94" s="3"/>
    </row>
    <row r="95" spans="1:9">
      <c r="A95" s="2">
        <v>89</v>
      </c>
      <c r="B95" s="3" t="s">
        <v>106</v>
      </c>
      <c r="C95" s="4" t="s">
        <v>88</v>
      </c>
      <c r="D95" s="3" t="s">
        <v>10</v>
      </c>
      <c r="E95" s="3">
        <v>135</v>
      </c>
      <c r="F95" s="3" t="s">
        <v>11</v>
      </c>
      <c r="G95" s="3" t="s">
        <v>89</v>
      </c>
      <c r="H95" s="5">
        <v>46203</v>
      </c>
      <c r="I95" s="3"/>
    </row>
    <row r="96" spans="1:9">
      <c r="A96" s="2">
        <v>90</v>
      </c>
      <c r="B96" s="3" t="s">
        <v>107</v>
      </c>
      <c r="C96" s="4" t="s">
        <v>88</v>
      </c>
      <c r="D96" s="3" t="s">
        <v>10</v>
      </c>
      <c r="E96" s="3">
        <v>130</v>
      </c>
      <c r="F96" s="3" t="s">
        <v>11</v>
      </c>
      <c r="G96" s="3" t="s">
        <v>89</v>
      </c>
      <c r="H96" s="5">
        <v>46203</v>
      </c>
      <c r="I96" s="3"/>
    </row>
    <row r="97" spans="1:9">
      <c r="A97" s="2">
        <v>91</v>
      </c>
      <c r="B97" s="3" t="s">
        <v>108</v>
      </c>
      <c r="C97" s="4" t="s">
        <v>88</v>
      </c>
      <c r="D97" s="3" t="s">
        <v>10</v>
      </c>
      <c r="E97" s="3">
        <v>155</v>
      </c>
      <c r="F97" s="3" t="s">
        <v>11</v>
      </c>
      <c r="G97" s="3" t="s">
        <v>89</v>
      </c>
      <c r="H97" s="5">
        <v>46203</v>
      </c>
      <c r="I97" s="3"/>
    </row>
    <row r="98" spans="1:9">
      <c r="A98" s="2">
        <v>92</v>
      </c>
      <c r="B98" s="3" t="s">
        <v>109</v>
      </c>
      <c r="C98" s="4" t="s">
        <v>88</v>
      </c>
      <c r="D98" s="3" t="s">
        <v>10</v>
      </c>
      <c r="E98" s="3">
        <v>215</v>
      </c>
      <c r="F98" s="3" t="s">
        <v>11</v>
      </c>
      <c r="G98" s="3" t="s">
        <v>89</v>
      </c>
      <c r="H98" s="5">
        <v>46203</v>
      </c>
      <c r="I98" s="3"/>
    </row>
    <row r="99" spans="1:9">
      <c r="A99" s="2">
        <v>93</v>
      </c>
      <c r="B99" s="3" t="s">
        <v>110</v>
      </c>
      <c r="C99" s="4" t="s">
        <v>88</v>
      </c>
      <c r="D99" s="3" t="s">
        <v>10</v>
      </c>
      <c r="E99" s="3">
        <v>105</v>
      </c>
      <c r="F99" s="3" t="s">
        <v>11</v>
      </c>
      <c r="G99" s="3" t="s">
        <v>89</v>
      </c>
      <c r="H99" s="5">
        <v>46203</v>
      </c>
      <c r="I99" s="3"/>
    </row>
    <row r="100" spans="1:9">
      <c r="A100" s="2">
        <v>94</v>
      </c>
      <c r="B100" s="3" t="s">
        <v>111</v>
      </c>
      <c r="C100" s="4" t="s">
        <v>88</v>
      </c>
      <c r="D100" s="3" t="s">
        <v>10</v>
      </c>
      <c r="E100" s="3">
        <v>160</v>
      </c>
      <c r="F100" s="3" t="s">
        <v>11</v>
      </c>
      <c r="G100" s="3" t="s">
        <v>89</v>
      </c>
      <c r="H100" s="5">
        <v>46203</v>
      </c>
      <c r="I100" s="3"/>
    </row>
    <row r="101" spans="1:9">
      <c r="A101" s="2">
        <v>95</v>
      </c>
      <c r="B101" s="3" t="s">
        <v>112</v>
      </c>
      <c r="C101" s="4" t="s">
        <v>88</v>
      </c>
      <c r="D101" s="3" t="s">
        <v>10</v>
      </c>
      <c r="E101" s="3">
        <v>310</v>
      </c>
      <c r="F101" s="3" t="s">
        <v>11</v>
      </c>
      <c r="G101" s="3" t="s">
        <v>89</v>
      </c>
      <c r="H101" s="5">
        <v>46203</v>
      </c>
      <c r="I101" s="3"/>
    </row>
    <row r="102" spans="1:9">
      <c r="A102" s="2">
        <v>96</v>
      </c>
      <c r="B102" s="3" t="s">
        <v>113</v>
      </c>
      <c r="C102" s="4" t="s">
        <v>88</v>
      </c>
      <c r="D102" s="3" t="s">
        <v>10</v>
      </c>
      <c r="E102" s="3">
        <v>175</v>
      </c>
      <c r="F102" s="3" t="s">
        <v>11</v>
      </c>
      <c r="G102" s="3" t="s">
        <v>89</v>
      </c>
      <c r="H102" s="5">
        <v>46203</v>
      </c>
      <c r="I102" s="3"/>
    </row>
    <row r="103" spans="1:9">
      <c r="A103" s="2">
        <v>97</v>
      </c>
      <c r="B103" s="3" t="s">
        <v>114</v>
      </c>
      <c r="C103" s="4" t="s">
        <v>88</v>
      </c>
      <c r="D103" s="3" t="s">
        <v>10</v>
      </c>
      <c r="E103" s="3">
        <v>135</v>
      </c>
      <c r="F103" s="3" t="s">
        <v>11</v>
      </c>
      <c r="G103" s="3" t="s">
        <v>89</v>
      </c>
      <c r="H103" s="5">
        <v>46203</v>
      </c>
      <c r="I103" s="3"/>
    </row>
    <row r="104" spans="1:9">
      <c r="A104" s="2">
        <v>98</v>
      </c>
      <c r="B104" s="3" t="s">
        <v>115</v>
      </c>
      <c r="C104" s="4" t="s">
        <v>88</v>
      </c>
      <c r="D104" s="3" t="s">
        <v>10</v>
      </c>
      <c r="E104" s="3">
        <v>135</v>
      </c>
      <c r="F104" s="3" t="s">
        <v>11</v>
      </c>
      <c r="G104" s="3" t="s">
        <v>89</v>
      </c>
      <c r="H104" s="5">
        <v>46203</v>
      </c>
      <c r="I104" s="3"/>
    </row>
    <row r="105" spans="1:9">
      <c r="A105" s="2">
        <v>99</v>
      </c>
      <c r="B105" s="3" t="s">
        <v>116</v>
      </c>
      <c r="C105" s="4" t="s">
        <v>88</v>
      </c>
      <c r="D105" s="3" t="s">
        <v>10</v>
      </c>
      <c r="E105" s="3">
        <v>300</v>
      </c>
      <c r="F105" s="3" t="s">
        <v>11</v>
      </c>
      <c r="G105" s="3" t="s">
        <v>89</v>
      </c>
      <c r="H105" s="5">
        <v>46203</v>
      </c>
      <c r="I105" s="3"/>
    </row>
    <row r="106" spans="1:9">
      <c r="A106" s="2">
        <v>100</v>
      </c>
      <c r="B106" s="3" t="s">
        <v>117</v>
      </c>
      <c r="C106" s="4" t="s">
        <v>88</v>
      </c>
      <c r="D106" s="3" t="s">
        <v>10</v>
      </c>
      <c r="E106" s="3">
        <v>145</v>
      </c>
      <c r="F106" s="3" t="s">
        <v>11</v>
      </c>
      <c r="G106" s="3" t="s">
        <v>89</v>
      </c>
      <c r="H106" s="5">
        <v>46203</v>
      </c>
      <c r="I106" s="3"/>
    </row>
    <row r="107" spans="1:9">
      <c r="A107" s="2">
        <v>101</v>
      </c>
      <c r="B107" s="3" t="s">
        <v>118</v>
      </c>
      <c r="C107" s="4" t="s">
        <v>88</v>
      </c>
      <c r="D107" s="3" t="s">
        <v>10</v>
      </c>
      <c r="E107" s="3">
        <v>515</v>
      </c>
      <c r="F107" s="3" t="s">
        <v>11</v>
      </c>
      <c r="G107" s="3" t="s">
        <v>89</v>
      </c>
      <c r="H107" s="5">
        <v>46203</v>
      </c>
      <c r="I107" s="3"/>
    </row>
    <row r="108" spans="1:9">
      <c r="A108" s="2">
        <v>102</v>
      </c>
      <c r="B108" s="3" t="s">
        <v>119</v>
      </c>
      <c r="C108" s="4" t="s">
        <v>88</v>
      </c>
      <c r="D108" s="3" t="s">
        <v>10</v>
      </c>
      <c r="E108" s="3">
        <v>280</v>
      </c>
      <c r="F108" s="3" t="s">
        <v>11</v>
      </c>
      <c r="G108" s="3" t="s">
        <v>89</v>
      </c>
      <c r="H108" s="5">
        <v>46203</v>
      </c>
      <c r="I108" s="3"/>
    </row>
    <row r="109" spans="1:9">
      <c r="A109" s="2">
        <v>103</v>
      </c>
      <c r="B109" s="3" t="s">
        <v>120</v>
      </c>
      <c r="C109" s="4" t="s">
        <v>88</v>
      </c>
      <c r="D109" s="3" t="s">
        <v>10</v>
      </c>
      <c r="E109" s="3">
        <v>250</v>
      </c>
      <c r="F109" s="3" t="s">
        <v>11</v>
      </c>
      <c r="G109" s="3" t="s">
        <v>89</v>
      </c>
      <c r="H109" s="5">
        <v>46203</v>
      </c>
      <c r="I109" s="3"/>
    </row>
    <row r="110" spans="1:9">
      <c r="A110" s="2">
        <v>104</v>
      </c>
      <c r="B110" s="3" t="s">
        <v>121</v>
      </c>
      <c r="C110" s="4" t="s">
        <v>88</v>
      </c>
      <c r="D110" s="3" t="s">
        <v>10</v>
      </c>
      <c r="E110" s="3">
        <v>145</v>
      </c>
      <c r="F110" s="3" t="s">
        <v>11</v>
      </c>
      <c r="G110" s="3" t="s">
        <v>89</v>
      </c>
      <c r="H110" s="5">
        <v>46203</v>
      </c>
      <c r="I110" s="3"/>
    </row>
    <row r="111" spans="1:9">
      <c r="A111" s="2">
        <v>105</v>
      </c>
      <c r="B111" s="3" t="s">
        <v>122</v>
      </c>
      <c r="C111" s="4" t="s">
        <v>88</v>
      </c>
      <c r="D111" s="3" t="s">
        <v>10</v>
      </c>
      <c r="E111" s="3">
        <v>235</v>
      </c>
      <c r="F111" s="3" t="s">
        <v>11</v>
      </c>
      <c r="G111" s="3" t="s">
        <v>89</v>
      </c>
      <c r="H111" s="5">
        <v>46203</v>
      </c>
      <c r="I111" s="3"/>
    </row>
    <row r="112" spans="1:9">
      <c r="A112" s="2">
        <v>106</v>
      </c>
      <c r="B112" s="3" t="s">
        <v>123</v>
      </c>
      <c r="C112" s="4" t="s">
        <v>88</v>
      </c>
      <c r="D112" s="3" t="s">
        <v>10</v>
      </c>
      <c r="E112" s="3">
        <v>150</v>
      </c>
      <c r="F112" s="3" t="s">
        <v>11</v>
      </c>
      <c r="G112" s="3" t="s">
        <v>89</v>
      </c>
      <c r="H112" s="5">
        <v>46203</v>
      </c>
      <c r="I112" s="3"/>
    </row>
    <row r="113" spans="1:9">
      <c r="A113" s="2">
        <v>107</v>
      </c>
      <c r="B113" s="3" t="s">
        <v>124</v>
      </c>
      <c r="C113" s="4" t="s">
        <v>88</v>
      </c>
      <c r="D113" s="3" t="s">
        <v>10</v>
      </c>
      <c r="E113" s="3">
        <v>105</v>
      </c>
      <c r="F113" s="3" t="s">
        <v>11</v>
      </c>
      <c r="G113" s="3" t="s">
        <v>89</v>
      </c>
      <c r="H113" s="5">
        <v>46203</v>
      </c>
      <c r="I113" s="3"/>
    </row>
    <row r="114" spans="1:9">
      <c r="A114" s="2">
        <v>108</v>
      </c>
      <c r="B114" s="3" t="s">
        <v>125</v>
      </c>
      <c r="C114" s="4" t="s">
        <v>88</v>
      </c>
      <c r="D114" s="3" t="s">
        <v>10</v>
      </c>
      <c r="E114" s="3">
        <v>205</v>
      </c>
      <c r="F114" s="3" t="s">
        <v>11</v>
      </c>
      <c r="G114" s="3" t="s">
        <v>89</v>
      </c>
      <c r="H114" s="5">
        <v>46203</v>
      </c>
      <c r="I114" s="3"/>
    </row>
    <row r="115" spans="1:9">
      <c r="A115" s="2">
        <v>109</v>
      </c>
      <c r="B115" s="3" t="s">
        <v>126</v>
      </c>
      <c r="C115" s="4" t="s">
        <v>88</v>
      </c>
      <c r="D115" s="3" t="s">
        <v>10</v>
      </c>
      <c r="E115" s="3">
        <v>210</v>
      </c>
      <c r="F115" s="3" t="s">
        <v>11</v>
      </c>
      <c r="G115" s="3" t="s">
        <v>89</v>
      </c>
      <c r="H115" s="5">
        <v>46203</v>
      </c>
      <c r="I115" s="3"/>
    </row>
    <row r="116" spans="1:9">
      <c r="A116" s="2">
        <v>110</v>
      </c>
      <c r="B116" s="3" t="s">
        <v>127</v>
      </c>
      <c r="C116" s="4" t="s">
        <v>88</v>
      </c>
      <c r="D116" s="3" t="s">
        <v>10</v>
      </c>
      <c r="E116" s="3">
        <v>390</v>
      </c>
      <c r="F116" s="3" t="s">
        <v>11</v>
      </c>
      <c r="G116" s="3" t="s">
        <v>89</v>
      </c>
      <c r="H116" s="5">
        <v>46203</v>
      </c>
      <c r="I116" s="3"/>
    </row>
    <row r="117" spans="1:9">
      <c r="A117" s="2">
        <v>111</v>
      </c>
      <c r="B117" s="3" t="s">
        <v>128</v>
      </c>
      <c r="C117" s="4" t="s">
        <v>88</v>
      </c>
      <c r="D117" s="3" t="s">
        <v>10</v>
      </c>
      <c r="E117" s="3">
        <v>335</v>
      </c>
      <c r="F117" s="3" t="s">
        <v>11</v>
      </c>
      <c r="G117" s="3" t="s">
        <v>89</v>
      </c>
      <c r="H117" s="5">
        <v>46203</v>
      </c>
      <c r="I117" s="3"/>
    </row>
    <row r="118" spans="1:9">
      <c r="A118" s="2">
        <v>112</v>
      </c>
      <c r="B118" s="3" t="s">
        <v>129</v>
      </c>
      <c r="C118" s="4" t="s">
        <v>88</v>
      </c>
      <c r="D118" s="3" t="s">
        <v>10</v>
      </c>
      <c r="E118" s="3">
        <v>185</v>
      </c>
      <c r="F118" s="3" t="s">
        <v>11</v>
      </c>
      <c r="G118" s="3" t="s">
        <v>89</v>
      </c>
      <c r="H118" s="5">
        <v>46203</v>
      </c>
      <c r="I118" s="3"/>
    </row>
    <row r="119" spans="1:9">
      <c r="A119" s="2">
        <v>113</v>
      </c>
      <c r="B119" s="3" t="s">
        <v>130</v>
      </c>
      <c r="C119" s="4" t="s">
        <v>88</v>
      </c>
      <c r="D119" s="3" t="s">
        <v>10</v>
      </c>
      <c r="E119" s="3">
        <v>130</v>
      </c>
      <c r="F119" s="3" t="s">
        <v>11</v>
      </c>
      <c r="G119" s="3" t="s">
        <v>89</v>
      </c>
      <c r="H119" s="5">
        <v>46203</v>
      </c>
      <c r="I119" s="3"/>
    </row>
    <row r="120" spans="1:9">
      <c r="A120" s="2">
        <v>114</v>
      </c>
      <c r="B120" s="3" t="s">
        <v>131</v>
      </c>
      <c r="C120" s="4" t="s">
        <v>88</v>
      </c>
      <c r="D120" s="3" t="s">
        <v>10</v>
      </c>
      <c r="E120" s="3">
        <v>105</v>
      </c>
      <c r="F120" s="3" t="s">
        <v>11</v>
      </c>
      <c r="G120" s="3" t="s">
        <v>89</v>
      </c>
      <c r="H120" s="5">
        <v>46203</v>
      </c>
      <c r="I120" s="3"/>
    </row>
    <row r="121" spans="1:9">
      <c r="A121" s="2">
        <v>115</v>
      </c>
      <c r="B121" s="3" t="s">
        <v>132</v>
      </c>
      <c r="C121" s="4" t="s">
        <v>88</v>
      </c>
      <c r="D121" s="3" t="s">
        <v>10</v>
      </c>
      <c r="E121" s="3">
        <v>110</v>
      </c>
      <c r="F121" s="3" t="s">
        <v>11</v>
      </c>
      <c r="G121" s="3" t="s">
        <v>89</v>
      </c>
      <c r="H121" s="5">
        <v>46203</v>
      </c>
      <c r="I121" s="3"/>
    </row>
    <row r="122" spans="1:9">
      <c r="A122" s="2">
        <v>116</v>
      </c>
      <c r="B122" s="3" t="s">
        <v>133</v>
      </c>
      <c r="C122" s="4" t="s">
        <v>88</v>
      </c>
      <c r="D122" s="3" t="s">
        <v>10</v>
      </c>
      <c r="E122" s="3">
        <v>160</v>
      </c>
      <c r="F122" s="3" t="s">
        <v>11</v>
      </c>
      <c r="G122" s="3" t="s">
        <v>89</v>
      </c>
      <c r="H122" s="5">
        <v>46203</v>
      </c>
      <c r="I122" s="3"/>
    </row>
    <row r="123" spans="1:9">
      <c r="A123" s="2">
        <v>117</v>
      </c>
      <c r="B123" s="3" t="s">
        <v>134</v>
      </c>
      <c r="C123" s="4" t="s">
        <v>88</v>
      </c>
      <c r="D123" s="3" t="s">
        <v>10</v>
      </c>
      <c r="E123" s="3">
        <v>120</v>
      </c>
      <c r="F123" s="3" t="s">
        <v>11</v>
      </c>
      <c r="G123" s="3" t="s">
        <v>89</v>
      </c>
      <c r="H123" s="5">
        <v>46203</v>
      </c>
      <c r="I123" s="3"/>
    </row>
    <row r="124" spans="1:9">
      <c r="A124" s="2">
        <v>118</v>
      </c>
      <c r="B124" s="3" t="s">
        <v>135</v>
      </c>
      <c r="C124" s="4" t="s">
        <v>88</v>
      </c>
      <c r="D124" s="3" t="s">
        <v>10</v>
      </c>
      <c r="E124" s="3">
        <v>175</v>
      </c>
      <c r="F124" s="3" t="s">
        <v>11</v>
      </c>
      <c r="G124" s="3" t="s">
        <v>89</v>
      </c>
      <c r="H124" s="5">
        <v>46203</v>
      </c>
      <c r="I124" s="3"/>
    </row>
    <row r="125" spans="1:9">
      <c r="A125" s="2">
        <v>119</v>
      </c>
      <c r="B125" s="3" t="s">
        <v>136</v>
      </c>
      <c r="C125" s="4" t="s">
        <v>88</v>
      </c>
      <c r="D125" s="3" t="s">
        <v>10</v>
      </c>
      <c r="E125" s="3">
        <v>130</v>
      </c>
      <c r="F125" s="3" t="s">
        <v>11</v>
      </c>
      <c r="G125" s="3" t="s">
        <v>89</v>
      </c>
      <c r="H125" s="5">
        <v>46203</v>
      </c>
      <c r="I125" s="3"/>
    </row>
    <row r="126" spans="1:9">
      <c r="A126" s="2">
        <v>120</v>
      </c>
      <c r="B126" s="3" t="s">
        <v>137</v>
      </c>
      <c r="C126" s="4" t="s">
        <v>88</v>
      </c>
      <c r="D126" s="3" t="s">
        <v>10</v>
      </c>
      <c r="E126" s="3">
        <v>230</v>
      </c>
      <c r="F126" s="3" t="s">
        <v>11</v>
      </c>
      <c r="G126" s="3" t="s">
        <v>89</v>
      </c>
      <c r="H126" s="5">
        <v>46203</v>
      </c>
      <c r="I126" s="3"/>
    </row>
    <row r="127" spans="1:9">
      <c r="A127" s="2">
        <v>121</v>
      </c>
      <c r="B127" s="3" t="s">
        <v>138</v>
      </c>
      <c r="C127" s="4" t="s">
        <v>88</v>
      </c>
      <c r="D127" s="3" t="s">
        <v>10</v>
      </c>
      <c r="E127" s="3">
        <v>160</v>
      </c>
      <c r="F127" s="3" t="s">
        <v>11</v>
      </c>
      <c r="G127" s="3" t="s">
        <v>89</v>
      </c>
      <c r="H127" s="5">
        <v>46203</v>
      </c>
      <c r="I127" s="3"/>
    </row>
    <row r="128" spans="1:9">
      <c r="A128" s="2">
        <v>122</v>
      </c>
      <c r="B128" s="3" t="s">
        <v>139</v>
      </c>
      <c r="C128" s="4" t="s">
        <v>88</v>
      </c>
      <c r="D128" s="3" t="s">
        <v>10</v>
      </c>
      <c r="E128" s="3">
        <v>150</v>
      </c>
      <c r="F128" s="3" t="s">
        <v>11</v>
      </c>
      <c r="G128" s="3" t="s">
        <v>89</v>
      </c>
      <c r="H128" s="5">
        <v>46203</v>
      </c>
      <c r="I128" s="3"/>
    </row>
    <row r="129" spans="1:9">
      <c r="A129" s="2">
        <v>123</v>
      </c>
      <c r="B129" s="3" t="s">
        <v>140</v>
      </c>
      <c r="C129" s="4" t="s">
        <v>88</v>
      </c>
      <c r="D129" s="3" t="s">
        <v>10</v>
      </c>
      <c r="E129" s="3">
        <v>90</v>
      </c>
      <c r="F129" s="3" t="s">
        <v>11</v>
      </c>
      <c r="G129" s="3" t="s">
        <v>89</v>
      </c>
      <c r="H129" s="5">
        <v>46203</v>
      </c>
      <c r="I129" s="3"/>
    </row>
    <row r="130" spans="1:9">
      <c r="A130" s="2">
        <v>124</v>
      </c>
      <c r="B130" s="3" t="s">
        <v>141</v>
      </c>
      <c r="C130" s="4" t="s">
        <v>88</v>
      </c>
      <c r="D130" s="3" t="s">
        <v>10</v>
      </c>
      <c r="E130" s="3">
        <v>350</v>
      </c>
      <c r="F130" s="3" t="s">
        <v>11</v>
      </c>
      <c r="G130" s="3" t="s">
        <v>89</v>
      </c>
      <c r="H130" s="5">
        <v>46203</v>
      </c>
      <c r="I130" s="3"/>
    </row>
    <row r="131" spans="1:9">
      <c r="A131" s="2">
        <v>125</v>
      </c>
      <c r="B131" s="3" t="s">
        <v>142</v>
      </c>
      <c r="C131" s="4" t="s">
        <v>88</v>
      </c>
      <c r="D131" s="3" t="s">
        <v>10</v>
      </c>
      <c r="E131" s="3">
        <v>175</v>
      </c>
      <c r="F131" s="3" t="s">
        <v>11</v>
      </c>
      <c r="G131" s="3" t="s">
        <v>89</v>
      </c>
      <c r="H131" s="5">
        <v>46203</v>
      </c>
      <c r="I131" s="3"/>
    </row>
    <row r="732" spans="2:9">
      <c r="B732" s="6"/>
      <c r="C732" s="6"/>
      <c r="D732" s="6"/>
      <c r="E732" s="6"/>
      <c r="F732" s="6"/>
      <c r="G732" s="6"/>
      <c r="H732" s="6"/>
      <c r="I732" s="6"/>
    </row>
  </sheetData>
  <autoFilter ref="B6:I131" xr:uid="{C2FBAF09-884F-4BC6-821A-85833A0D4EFF}"/>
  <pageMargins left="0.7" right="0.7" top="0.75" bottom="0.75" header="0.3" footer="0.3"/>
  <headerFooter>
    <oddFooter>&amp;L_x000D_&amp;1#&amp;"Calibri"&amp;6&amp;K737373 BUSINESS DOCUMENT  This document is intended for business use and should be distributed to intended recipients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8F13-CB85-4B50-95EF-54B867E03BEE}">
  <dimension ref="B6:AA70"/>
  <sheetViews>
    <sheetView workbookViewId="0">
      <selection activeCell="J28" sqref="J28"/>
    </sheetView>
  </sheetViews>
  <sheetFormatPr defaultRowHeight="14.45"/>
  <cols>
    <col min="2" max="2" width="20.7109375" bestFit="1" customWidth="1"/>
    <col min="3" max="3" width="7" bestFit="1" customWidth="1"/>
    <col min="4" max="5" width="6.5703125" bestFit="1" customWidth="1"/>
    <col min="16" max="16" width="10.85546875" style="8" customWidth="1"/>
    <col min="17" max="27" width="9.140625" style="21"/>
  </cols>
  <sheetData>
    <row r="6" spans="2:27">
      <c r="P6" s="8" t="s">
        <v>143</v>
      </c>
      <c r="Q6" s="21" t="s">
        <v>144</v>
      </c>
      <c r="R6" s="21" t="s">
        <v>145</v>
      </c>
      <c r="S6" s="21" t="s">
        <v>144</v>
      </c>
      <c r="T6" s="21" t="s">
        <v>146</v>
      </c>
      <c r="U6" s="21" t="s">
        <v>147</v>
      </c>
    </row>
    <row r="7" spans="2:27">
      <c r="P7" s="8" t="s">
        <v>148</v>
      </c>
      <c r="Q7" s="21" t="s">
        <v>144</v>
      </c>
      <c r="R7" s="21" t="s">
        <v>145</v>
      </c>
      <c r="S7" s="21" t="s">
        <v>144</v>
      </c>
      <c r="T7" s="21" t="s">
        <v>146</v>
      </c>
      <c r="U7" s="21" t="s">
        <v>147</v>
      </c>
      <c r="V7" s="21" t="s">
        <v>149</v>
      </c>
      <c r="W7" s="21" t="s">
        <v>147</v>
      </c>
      <c r="X7" s="21" t="s">
        <v>150</v>
      </c>
      <c r="Y7" s="21" t="s">
        <v>151</v>
      </c>
    </row>
    <row r="8" spans="2:27">
      <c r="P8" s="8" t="s">
        <v>152</v>
      </c>
      <c r="Q8" s="21" t="s">
        <v>153</v>
      </c>
      <c r="R8" s="21" t="s">
        <v>154</v>
      </c>
      <c r="S8" s="21" t="s">
        <v>153</v>
      </c>
      <c r="T8" s="21" t="s">
        <v>155</v>
      </c>
      <c r="U8" s="21" t="s">
        <v>153</v>
      </c>
    </row>
    <row r="12" spans="2:27">
      <c r="B12" s="19" t="s">
        <v>156</v>
      </c>
      <c r="C12" t="s">
        <v>157</v>
      </c>
      <c r="P12" s="8" t="s">
        <v>158</v>
      </c>
      <c r="Q12" s="21" t="s">
        <v>153</v>
      </c>
      <c r="R12" s="21" t="s">
        <v>154</v>
      </c>
      <c r="S12" s="21" t="s">
        <v>153</v>
      </c>
      <c r="T12" s="21" t="s">
        <v>155</v>
      </c>
      <c r="U12" s="21" t="s">
        <v>153</v>
      </c>
      <c r="V12" s="21" t="s">
        <v>159</v>
      </c>
      <c r="W12" s="21" t="s">
        <v>153</v>
      </c>
      <c r="X12" s="21" t="s">
        <v>160</v>
      </c>
      <c r="Y12" s="21" t="s">
        <v>153</v>
      </c>
      <c r="Z12" s="21" t="s">
        <v>161</v>
      </c>
      <c r="AA12" s="21" t="s">
        <v>153</v>
      </c>
    </row>
    <row r="13" spans="2:27">
      <c r="B13" s="19" t="s">
        <v>162</v>
      </c>
      <c r="C13" t="s">
        <v>157</v>
      </c>
      <c r="P13" s="8" t="s">
        <v>163</v>
      </c>
      <c r="Q13" s="21" t="s">
        <v>164</v>
      </c>
      <c r="R13" s="21" t="s">
        <v>165</v>
      </c>
      <c r="S13" s="21" t="s">
        <v>166</v>
      </c>
      <c r="T13" s="21" t="s">
        <v>167</v>
      </c>
      <c r="U13" s="21" t="s">
        <v>153</v>
      </c>
      <c r="V13" s="21" t="s">
        <v>154</v>
      </c>
      <c r="W13" s="21" t="s">
        <v>153</v>
      </c>
      <c r="X13" s="21" t="s">
        <v>155</v>
      </c>
      <c r="Y13" s="21" t="s">
        <v>168</v>
      </c>
      <c r="Z13" s="21" t="s">
        <v>169</v>
      </c>
      <c r="AA13" s="21" t="s">
        <v>170</v>
      </c>
    </row>
    <row r="14" spans="2:27">
      <c r="AA14" s="21" t="s">
        <v>170</v>
      </c>
    </row>
    <row r="15" spans="2:27">
      <c r="B15" s="19" t="s">
        <v>171</v>
      </c>
    </row>
    <row r="16" spans="2:27">
      <c r="B16" s="19" t="s">
        <v>172</v>
      </c>
      <c r="C16" t="s">
        <v>173</v>
      </c>
      <c r="J16" s="8" t="s">
        <v>174</v>
      </c>
      <c r="M16" s="8" t="s">
        <v>175</v>
      </c>
      <c r="P16" s="21" t="s">
        <v>176</v>
      </c>
    </row>
    <row r="17" spans="2:16">
      <c r="B17" t="s">
        <v>25</v>
      </c>
      <c r="C17" s="20">
        <v>77</v>
      </c>
      <c r="I17" t="s">
        <v>25</v>
      </c>
      <c r="J17" s="8">
        <v>100</v>
      </c>
      <c r="L17" t="s">
        <v>21</v>
      </c>
      <c r="M17" s="8">
        <v>130</v>
      </c>
      <c r="O17" t="s">
        <v>177</v>
      </c>
      <c r="P17" s="22">
        <v>160</v>
      </c>
    </row>
    <row r="18" spans="2:16">
      <c r="B18" t="s">
        <v>23</v>
      </c>
      <c r="C18" s="20">
        <v>77</v>
      </c>
      <c r="I18" t="s">
        <v>23</v>
      </c>
      <c r="J18" s="8">
        <v>100</v>
      </c>
      <c r="L18" t="s">
        <v>178</v>
      </c>
      <c r="M18" s="8">
        <v>130</v>
      </c>
      <c r="O18" t="s">
        <v>43</v>
      </c>
      <c r="P18" s="22">
        <v>160</v>
      </c>
    </row>
    <row r="19" spans="2:16">
      <c r="B19" t="s">
        <v>55</v>
      </c>
      <c r="C19" s="20">
        <v>86</v>
      </c>
      <c r="I19" t="s">
        <v>55</v>
      </c>
      <c r="J19" s="8">
        <v>100</v>
      </c>
      <c r="L19" t="s">
        <v>26</v>
      </c>
      <c r="M19" s="8">
        <v>130</v>
      </c>
      <c r="O19" t="s">
        <v>179</v>
      </c>
      <c r="P19" s="22">
        <v>160</v>
      </c>
    </row>
    <row r="20" spans="2:16">
      <c r="B20" t="s">
        <v>180</v>
      </c>
      <c r="C20" s="20">
        <v>89.666666666666671</v>
      </c>
      <c r="I20" t="s">
        <v>180</v>
      </c>
      <c r="J20" s="8">
        <v>100</v>
      </c>
      <c r="L20" t="s">
        <v>181</v>
      </c>
      <c r="M20" s="8">
        <v>130</v>
      </c>
      <c r="O20" t="s">
        <v>41</v>
      </c>
      <c r="P20" s="22">
        <v>160</v>
      </c>
    </row>
    <row r="21" spans="2:16">
      <c r="B21" t="s">
        <v>45</v>
      </c>
      <c r="C21" s="20">
        <v>99.333333333333329</v>
      </c>
      <c r="I21" t="s">
        <v>45</v>
      </c>
      <c r="J21" s="8">
        <v>100</v>
      </c>
      <c r="L21" t="s">
        <v>35</v>
      </c>
      <c r="M21" s="8">
        <v>130</v>
      </c>
      <c r="O21" t="s">
        <v>182</v>
      </c>
      <c r="P21" s="22">
        <v>160</v>
      </c>
    </row>
    <row r="22" spans="2:16">
      <c r="B22" t="s">
        <v>44</v>
      </c>
      <c r="C22" s="20">
        <v>105</v>
      </c>
      <c r="I22" t="s">
        <v>44</v>
      </c>
      <c r="J22" s="8">
        <v>100</v>
      </c>
      <c r="L22" t="s">
        <v>34</v>
      </c>
      <c r="M22" s="8">
        <v>130</v>
      </c>
      <c r="O22" t="s">
        <v>183</v>
      </c>
      <c r="P22" s="22">
        <v>160</v>
      </c>
    </row>
    <row r="23" spans="2:16">
      <c r="B23" t="s">
        <v>37</v>
      </c>
      <c r="C23" s="20">
        <v>111.33333333333333</v>
      </c>
      <c r="I23" t="s">
        <v>37</v>
      </c>
      <c r="J23" s="8">
        <v>100</v>
      </c>
      <c r="L23" t="s">
        <v>56</v>
      </c>
      <c r="M23" s="8">
        <v>130</v>
      </c>
      <c r="O23" t="s">
        <v>184</v>
      </c>
      <c r="P23" s="22">
        <v>160</v>
      </c>
    </row>
    <row r="24" spans="2:16">
      <c r="B24" t="s">
        <v>185</v>
      </c>
      <c r="C24" s="20">
        <v>113.66666666666667</v>
      </c>
      <c r="I24" t="s">
        <v>185</v>
      </c>
      <c r="J24" s="8">
        <v>100</v>
      </c>
      <c r="L24" t="s">
        <v>186</v>
      </c>
      <c r="M24" s="8">
        <v>130</v>
      </c>
      <c r="O24" t="s">
        <v>38</v>
      </c>
      <c r="P24" s="22">
        <v>160</v>
      </c>
    </row>
    <row r="25" spans="2:16">
      <c r="B25" t="s">
        <v>27</v>
      </c>
      <c r="C25" s="20">
        <v>113.66666666666667</v>
      </c>
      <c r="I25" t="s">
        <v>27</v>
      </c>
      <c r="J25" s="8">
        <v>100</v>
      </c>
      <c r="L25" t="s">
        <v>19</v>
      </c>
      <c r="M25" s="8">
        <v>130</v>
      </c>
      <c r="O25" t="s">
        <v>40</v>
      </c>
      <c r="P25" s="22">
        <v>160</v>
      </c>
    </row>
    <row r="26" spans="2:16">
      <c r="B26" t="s">
        <v>187</v>
      </c>
      <c r="C26" s="20">
        <v>114</v>
      </c>
      <c r="I26" t="s">
        <v>187</v>
      </c>
      <c r="J26" s="8">
        <v>100</v>
      </c>
      <c r="L26" t="s">
        <v>188</v>
      </c>
      <c r="M26" s="8">
        <v>130</v>
      </c>
      <c r="O26" t="s">
        <v>46</v>
      </c>
      <c r="P26" s="22">
        <v>160</v>
      </c>
    </row>
    <row r="27" spans="2:16">
      <c r="B27" t="s">
        <v>29</v>
      </c>
      <c r="C27" s="20">
        <v>114</v>
      </c>
      <c r="I27" t="s">
        <v>29</v>
      </c>
      <c r="J27" s="8">
        <v>100</v>
      </c>
      <c r="L27" t="s">
        <v>189</v>
      </c>
      <c r="M27" s="8">
        <v>130</v>
      </c>
      <c r="O27" t="s">
        <v>190</v>
      </c>
      <c r="P27" s="22">
        <v>160</v>
      </c>
    </row>
    <row r="28" spans="2:16">
      <c r="B28" t="s">
        <v>21</v>
      </c>
      <c r="C28" s="20">
        <v>117.66666666666667</v>
      </c>
      <c r="L28" t="s">
        <v>191</v>
      </c>
      <c r="M28" s="8">
        <v>130</v>
      </c>
      <c r="O28" t="s">
        <v>36</v>
      </c>
      <c r="P28" s="22">
        <v>160</v>
      </c>
    </row>
    <row r="29" spans="2:16">
      <c r="B29" t="s">
        <v>178</v>
      </c>
      <c r="C29" s="20">
        <v>120.66666666666667</v>
      </c>
      <c r="L29" t="s">
        <v>192</v>
      </c>
      <c r="M29" s="8">
        <v>130</v>
      </c>
      <c r="O29" t="s">
        <v>193</v>
      </c>
      <c r="P29" s="22">
        <v>160</v>
      </c>
    </row>
    <row r="30" spans="2:16">
      <c r="B30" t="s">
        <v>26</v>
      </c>
      <c r="C30" s="20">
        <v>123.33333333333333</v>
      </c>
      <c r="L30" t="s">
        <v>194</v>
      </c>
      <c r="M30" s="8">
        <v>130</v>
      </c>
      <c r="O30" t="s">
        <v>195</v>
      </c>
      <c r="P30" s="22">
        <v>160</v>
      </c>
    </row>
    <row r="31" spans="2:16">
      <c r="B31" t="s">
        <v>181</v>
      </c>
      <c r="C31" s="20">
        <v>123.33333333333333</v>
      </c>
      <c r="L31" t="s">
        <v>18</v>
      </c>
      <c r="M31" s="8">
        <v>130</v>
      </c>
      <c r="O31" t="s">
        <v>32</v>
      </c>
      <c r="P31" s="22">
        <v>160</v>
      </c>
    </row>
    <row r="32" spans="2:16">
      <c r="B32" t="s">
        <v>35</v>
      </c>
      <c r="C32" s="20">
        <v>123.33333333333333</v>
      </c>
      <c r="L32" t="s">
        <v>16</v>
      </c>
      <c r="M32" s="8">
        <v>130</v>
      </c>
      <c r="O32" t="s">
        <v>196</v>
      </c>
      <c r="P32" s="22">
        <v>160</v>
      </c>
    </row>
    <row r="33" spans="2:16">
      <c r="B33" t="s">
        <v>34</v>
      </c>
      <c r="C33" s="20">
        <v>123.33333333333333</v>
      </c>
      <c r="O33" t="s">
        <v>197</v>
      </c>
      <c r="P33" s="22">
        <v>160</v>
      </c>
    </row>
    <row r="34" spans="2:16">
      <c r="B34" t="s">
        <v>56</v>
      </c>
      <c r="C34" s="20">
        <v>124.33333333333333</v>
      </c>
    </row>
    <row r="35" spans="2:16">
      <c r="B35" t="s">
        <v>186</v>
      </c>
      <c r="C35" s="20">
        <v>127</v>
      </c>
    </row>
    <row r="36" spans="2:16">
      <c r="B36" t="s">
        <v>19</v>
      </c>
      <c r="C36" s="20">
        <v>128.33333333333334</v>
      </c>
    </row>
    <row r="37" spans="2:16">
      <c r="B37" t="s">
        <v>188</v>
      </c>
      <c r="C37" s="20">
        <v>128.33333333333334</v>
      </c>
    </row>
    <row r="38" spans="2:16">
      <c r="B38" t="s">
        <v>189</v>
      </c>
      <c r="C38" s="20">
        <v>133</v>
      </c>
    </row>
    <row r="39" spans="2:16">
      <c r="B39" t="s">
        <v>191</v>
      </c>
      <c r="C39" s="20">
        <v>138.33333333333334</v>
      </c>
    </row>
    <row r="40" spans="2:16">
      <c r="B40" t="s">
        <v>192</v>
      </c>
      <c r="C40" s="20">
        <v>138.33333333333334</v>
      </c>
    </row>
    <row r="41" spans="2:16">
      <c r="B41" t="s">
        <v>194</v>
      </c>
      <c r="C41" s="20">
        <v>140</v>
      </c>
    </row>
    <row r="42" spans="2:16">
      <c r="B42" t="s">
        <v>18</v>
      </c>
      <c r="C42" s="20">
        <v>140</v>
      </c>
    </row>
    <row r="43" spans="2:16">
      <c r="B43" t="s">
        <v>16</v>
      </c>
      <c r="C43" s="20">
        <v>140</v>
      </c>
    </row>
    <row r="44" spans="2:16">
      <c r="B44" t="s">
        <v>177</v>
      </c>
      <c r="C44" s="20">
        <v>146.66666666666666</v>
      </c>
    </row>
    <row r="45" spans="2:16">
      <c r="B45" t="s">
        <v>43</v>
      </c>
      <c r="C45" s="20">
        <v>148.33333333333334</v>
      </c>
    </row>
    <row r="46" spans="2:16">
      <c r="B46" t="s">
        <v>179</v>
      </c>
      <c r="C46" s="20">
        <v>151.33333333333334</v>
      </c>
    </row>
    <row r="47" spans="2:16">
      <c r="B47" t="s">
        <v>41</v>
      </c>
      <c r="C47" s="20">
        <v>151.33333333333334</v>
      </c>
    </row>
    <row r="48" spans="2:16">
      <c r="B48" t="s">
        <v>182</v>
      </c>
      <c r="C48" s="20">
        <v>151.33333333333334</v>
      </c>
    </row>
    <row r="49" spans="2:3">
      <c r="B49" t="s">
        <v>183</v>
      </c>
      <c r="C49" s="20">
        <v>153.33333333333334</v>
      </c>
    </row>
    <row r="50" spans="2:3">
      <c r="B50" t="s">
        <v>184</v>
      </c>
      <c r="C50" s="20">
        <v>156.66666666666666</v>
      </c>
    </row>
    <row r="51" spans="2:3">
      <c r="B51" t="s">
        <v>38</v>
      </c>
      <c r="C51" s="20">
        <v>160</v>
      </c>
    </row>
    <row r="52" spans="2:3">
      <c r="B52" t="s">
        <v>40</v>
      </c>
      <c r="C52" s="20">
        <v>161.66666666666666</v>
      </c>
    </row>
    <row r="53" spans="2:3">
      <c r="B53" t="s">
        <v>46</v>
      </c>
      <c r="C53" s="20">
        <v>166</v>
      </c>
    </row>
    <row r="54" spans="2:3">
      <c r="B54" t="s">
        <v>190</v>
      </c>
      <c r="C54" s="20">
        <v>175</v>
      </c>
    </row>
    <row r="55" spans="2:3">
      <c r="B55" t="s">
        <v>36</v>
      </c>
      <c r="C55" s="20">
        <v>180</v>
      </c>
    </row>
    <row r="56" spans="2:3">
      <c r="B56" t="s">
        <v>193</v>
      </c>
      <c r="C56" s="20">
        <v>186.33333333333334</v>
      </c>
    </row>
    <row r="57" spans="2:3">
      <c r="B57" t="s">
        <v>195</v>
      </c>
      <c r="C57" s="20">
        <v>186.33333333333334</v>
      </c>
    </row>
    <row r="58" spans="2:3">
      <c r="B58" t="s">
        <v>32</v>
      </c>
      <c r="C58" s="20">
        <v>191.66666666666666</v>
      </c>
    </row>
    <row r="59" spans="2:3">
      <c r="B59" t="s">
        <v>196</v>
      </c>
      <c r="C59" s="20">
        <v>195.66666666666666</v>
      </c>
    </row>
    <row r="60" spans="2:3">
      <c r="B60" t="s">
        <v>197</v>
      </c>
      <c r="C60" s="20">
        <v>201.66666666666666</v>
      </c>
    </row>
    <row r="61" spans="2:3">
      <c r="B61" t="s">
        <v>28</v>
      </c>
      <c r="C61" s="20">
        <v>266</v>
      </c>
    </row>
    <row r="62" spans="2:3">
      <c r="B62" t="s">
        <v>198</v>
      </c>
      <c r="C62" s="20">
        <v>266</v>
      </c>
    </row>
    <row r="63" spans="2:3">
      <c r="B63" t="s">
        <v>199</v>
      </c>
      <c r="C63" s="20">
        <v>301</v>
      </c>
    </row>
    <row r="64" spans="2:3">
      <c r="B64" t="s">
        <v>200</v>
      </c>
      <c r="C64" s="20">
        <v>409</v>
      </c>
    </row>
    <row r="65" spans="2:3">
      <c r="B65" t="s">
        <v>14</v>
      </c>
      <c r="C65" s="20">
        <v>743.33333333333337</v>
      </c>
    </row>
    <row r="66" spans="2:3">
      <c r="B66" t="s">
        <v>201</v>
      </c>
      <c r="C66" s="20">
        <v>743.33333333333337</v>
      </c>
    </row>
    <row r="67" spans="2:3">
      <c r="B67" t="s">
        <v>202</v>
      </c>
      <c r="C67" s="20">
        <v>750</v>
      </c>
    </row>
    <row r="68" spans="2:3">
      <c r="B68" t="s">
        <v>203</v>
      </c>
      <c r="C68" s="20">
        <v>750</v>
      </c>
    </row>
    <row r="69" spans="2:3">
      <c r="B69" t="s">
        <v>204</v>
      </c>
      <c r="C69" s="20">
        <v>1154.6666666666667</v>
      </c>
    </row>
    <row r="70" spans="2:3">
      <c r="B70" t="s">
        <v>205</v>
      </c>
      <c r="C70" s="20">
        <v>77</v>
      </c>
    </row>
  </sheetData>
  <phoneticPr fontId="10"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86AE-451E-4C47-810E-9C8F55848B6E}">
  <sheetPr>
    <tabColor theme="1" tint="0.499984740745262"/>
  </sheetPr>
  <dimension ref="B4:S62"/>
  <sheetViews>
    <sheetView showGridLines="0" topLeftCell="B1" workbookViewId="0">
      <selection activeCell="R19" sqref="R19:T19"/>
    </sheetView>
  </sheetViews>
  <sheetFormatPr defaultRowHeight="14.45"/>
  <cols>
    <col min="1" max="1" width="3" customWidth="1"/>
    <col min="2" max="2" width="12.42578125" bestFit="1" customWidth="1"/>
    <col min="3" max="3" width="12.140625" customWidth="1"/>
    <col min="4" max="5" width="9.140625" customWidth="1"/>
    <col min="6" max="6" width="11.42578125" customWidth="1"/>
    <col min="7" max="9" width="9.140625" customWidth="1"/>
    <col min="10" max="10" width="14.140625" customWidth="1"/>
    <col min="11" max="11" width="9.140625" customWidth="1"/>
    <col min="12" max="13" width="11.42578125" customWidth="1"/>
    <col min="14" max="14" width="12.42578125" customWidth="1"/>
  </cols>
  <sheetData>
    <row r="4" spans="2:19" ht="38.25" customHeight="1">
      <c r="B4" s="70" t="s">
        <v>206</v>
      </c>
      <c r="C4" s="70" t="s">
        <v>207</v>
      </c>
      <c r="D4" s="14" t="s">
        <v>208</v>
      </c>
      <c r="E4" s="70" t="s">
        <v>209</v>
      </c>
      <c r="F4" s="70" t="s">
        <v>172</v>
      </c>
      <c r="G4" s="70" t="s">
        <v>210</v>
      </c>
      <c r="H4" s="14" t="s">
        <v>211</v>
      </c>
      <c r="I4" s="72" t="s">
        <v>212</v>
      </c>
      <c r="J4" s="70" t="s">
        <v>207</v>
      </c>
      <c r="K4" s="70" t="s">
        <v>206</v>
      </c>
      <c r="L4" s="70" t="s">
        <v>156</v>
      </c>
      <c r="M4" s="70" t="s">
        <v>172</v>
      </c>
      <c r="N4" s="70" t="s">
        <v>162</v>
      </c>
      <c r="O4" s="14" t="s">
        <v>213</v>
      </c>
      <c r="P4" s="15" t="s">
        <v>214</v>
      </c>
      <c r="Q4" s="15" t="s">
        <v>215</v>
      </c>
      <c r="R4" s="15" t="s">
        <v>216</v>
      </c>
      <c r="S4" s="70" t="s">
        <v>217</v>
      </c>
    </row>
    <row r="5" spans="2:19" ht="26.1">
      <c r="B5" s="71"/>
      <c r="C5" s="71"/>
      <c r="D5" s="13" t="s">
        <v>218</v>
      </c>
      <c r="E5" s="71"/>
      <c r="F5" s="71"/>
      <c r="G5" s="71"/>
      <c r="H5" s="13" t="s">
        <v>219</v>
      </c>
      <c r="I5" s="73"/>
      <c r="J5" s="71"/>
      <c r="K5" s="71"/>
      <c r="L5" s="71"/>
      <c r="M5" s="71"/>
      <c r="N5" s="71"/>
      <c r="O5" s="13" t="s">
        <v>220</v>
      </c>
      <c r="P5" s="12" t="s">
        <v>221</v>
      </c>
      <c r="Q5" s="12" t="s">
        <v>221</v>
      </c>
      <c r="R5" s="12" t="s">
        <v>221</v>
      </c>
      <c r="S5" s="71"/>
    </row>
    <row r="6" spans="2:19">
      <c r="B6" s="10"/>
      <c r="C6" s="10"/>
      <c r="D6" s="10"/>
      <c r="E6" s="10"/>
      <c r="F6" s="11"/>
      <c r="G6" s="10"/>
      <c r="H6" s="10"/>
      <c r="I6" s="11"/>
      <c r="J6" s="11"/>
      <c r="K6" s="11"/>
      <c r="L6" s="11"/>
      <c r="M6" s="11"/>
      <c r="N6" s="11"/>
      <c r="O6" s="10"/>
      <c r="P6" s="10"/>
      <c r="Q6" s="10"/>
      <c r="R6" s="10"/>
      <c r="S6" s="10"/>
    </row>
    <row r="7" spans="2:19">
      <c r="B7" s="9" t="s">
        <v>222</v>
      </c>
      <c r="C7" s="9" t="s">
        <v>223</v>
      </c>
      <c r="D7" s="9" t="s">
        <v>224</v>
      </c>
      <c r="E7" s="9" t="s">
        <v>225</v>
      </c>
      <c r="F7" s="9" t="s">
        <v>182</v>
      </c>
      <c r="G7" s="9" t="s">
        <v>30</v>
      </c>
      <c r="H7" s="9" t="s">
        <v>226</v>
      </c>
      <c r="I7" s="9" t="s">
        <v>170</v>
      </c>
      <c r="J7" s="9" t="s">
        <v>227</v>
      </c>
      <c r="K7" s="9" t="s">
        <v>228</v>
      </c>
      <c r="L7" s="9" t="s">
        <v>229</v>
      </c>
      <c r="M7" s="9" t="s">
        <v>182</v>
      </c>
      <c r="N7" s="9" t="s">
        <v>230</v>
      </c>
      <c r="O7" s="9" t="s">
        <v>10</v>
      </c>
      <c r="P7" s="9">
        <v>119</v>
      </c>
      <c r="Q7" s="9">
        <v>134</v>
      </c>
      <c r="R7" s="9">
        <v>201</v>
      </c>
      <c r="S7" s="16">
        <f t="shared" ref="S7:S38" si="0">AVERAGE(P7,Q7,R7)</f>
        <v>151.33333333333334</v>
      </c>
    </row>
    <row r="8" spans="2:19">
      <c r="B8" s="9" t="s">
        <v>231</v>
      </c>
      <c r="C8" s="9" t="s">
        <v>232</v>
      </c>
      <c r="D8" s="9" t="s">
        <v>233</v>
      </c>
      <c r="E8" s="9" t="s">
        <v>234</v>
      </c>
      <c r="F8" s="9" t="s">
        <v>183</v>
      </c>
      <c r="G8" s="9" t="s">
        <v>9</v>
      </c>
      <c r="H8" s="9" t="s">
        <v>226</v>
      </c>
      <c r="I8" s="9" t="s">
        <v>170</v>
      </c>
      <c r="J8" s="9" t="s">
        <v>227</v>
      </c>
      <c r="K8" s="9" t="s">
        <v>228</v>
      </c>
      <c r="L8" s="9" t="s">
        <v>235</v>
      </c>
      <c r="M8" s="9" t="s">
        <v>183</v>
      </c>
      <c r="N8" s="9" t="s">
        <v>230</v>
      </c>
      <c r="O8" s="9" t="s">
        <v>10</v>
      </c>
      <c r="P8" s="9">
        <v>110</v>
      </c>
      <c r="Q8" s="9">
        <v>130</v>
      </c>
      <c r="R8" s="9">
        <v>220</v>
      </c>
      <c r="S8" s="16">
        <f t="shared" si="0"/>
        <v>153.33333333333334</v>
      </c>
    </row>
    <row r="9" spans="2:19">
      <c r="B9" s="9" t="s">
        <v>236</v>
      </c>
      <c r="C9" s="9" t="s">
        <v>237</v>
      </c>
      <c r="D9" s="9" t="s">
        <v>238</v>
      </c>
      <c r="E9" s="9" t="s">
        <v>239</v>
      </c>
      <c r="F9" s="9" t="s">
        <v>200</v>
      </c>
      <c r="G9" s="9" t="s">
        <v>30</v>
      </c>
      <c r="H9" s="9" t="s">
        <v>226</v>
      </c>
      <c r="I9" s="9" t="s">
        <v>170</v>
      </c>
      <c r="J9" s="9" t="s">
        <v>227</v>
      </c>
      <c r="K9" s="9" t="s">
        <v>228</v>
      </c>
      <c r="L9" s="9" t="s">
        <v>235</v>
      </c>
      <c r="M9" s="9" t="s">
        <v>200</v>
      </c>
      <c r="N9" s="9" t="s">
        <v>230</v>
      </c>
      <c r="O9" s="9" t="s">
        <v>10</v>
      </c>
      <c r="P9" s="9">
        <v>333</v>
      </c>
      <c r="Q9" s="9">
        <v>347</v>
      </c>
      <c r="R9" s="9">
        <v>547</v>
      </c>
      <c r="S9" s="16">
        <f t="shared" si="0"/>
        <v>409</v>
      </c>
    </row>
    <row r="10" spans="2:19">
      <c r="B10" s="9" t="s">
        <v>222</v>
      </c>
      <c r="C10" s="9" t="s">
        <v>240</v>
      </c>
      <c r="D10" s="9" t="s">
        <v>224</v>
      </c>
      <c r="E10" s="9" t="s">
        <v>241</v>
      </c>
      <c r="F10" s="9" t="s">
        <v>195</v>
      </c>
      <c r="G10" s="9" t="s">
        <v>30</v>
      </c>
      <c r="H10" s="9" t="s">
        <v>226</v>
      </c>
      <c r="I10" s="9" t="s">
        <v>170</v>
      </c>
      <c r="J10" s="9" t="s">
        <v>227</v>
      </c>
      <c r="K10" s="9" t="s">
        <v>228</v>
      </c>
      <c r="L10" s="9" t="s">
        <v>242</v>
      </c>
      <c r="M10" s="9" t="s">
        <v>195</v>
      </c>
      <c r="N10" s="9" t="s">
        <v>230</v>
      </c>
      <c r="O10" s="9" t="s">
        <v>10</v>
      </c>
      <c r="P10" s="9">
        <v>152</v>
      </c>
      <c r="Q10" s="9">
        <v>166</v>
      </c>
      <c r="R10" s="9">
        <v>241</v>
      </c>
      <c r="S10" s="16">
        <f t="shared" si="0"/>
        <v>186.33333333333334</v>
      </c>
    </row>
    <row r="11" spans="2:19">
      <c r="B11" s="9" t="s">
        <v>228</v>
      </c>
      <c r="C11" s="9" t="s">
        <v>227</v>
      </c>
      <c r="D11" s="9" t="s">
        <v>226</v>
      </c>
      <c r="E11" s="9" t="s">
        <v>170</v>
      </c>
      <c r="F11" s="9" t="s">
        <v>29</v>
      </c>
      <c r="G11" s="9" t="s">
        <v>30</v>
      </c>
      <c r="H11" s="9" t="s">
        <v>226</v>
      </c>
      <c r="I11" s="9" t="s">
        <v>243</v>
      </c>
      <c r="J11" s="9" t="s">
        <v>244</v>
      </c>
      <c r="K11" s="9" t="s">
        <v>228</v>
      </c>
      <c r="L11" s="9" t="s">
        <v>229</v>
      </c>
      <c r="M11" s="9" t="s">
        <v>29</v>
      </c>
      <c r="N11" s="9" t="s">
        <v>245</v>
      </c>
      <c r="O11" s="9" t="s">
        <v>10</v>
      </c>
      <c r="P11" s="9">
        <v>78</v>
      </c>
      <c r="Q11" s="9">
        <v>90</v>
      </c>
      <c r="R11" s="9">
        <v>174</v>
      </c>
      <c r="S11" s="16">
        <f t="shared" si="0"/>
        <v>114</v>
      </c>
    </row>
    <row r="12" spans="2:19">
      <c r="B12" s="9" t="s">
        <v>228</v>
      </c>
      <c r="C12" s="9" t="s">
        <v>246</v>
      </c>
      <c r="D12" s="9" t="s">
        <v>226</v>
      </c>
      <c r="E12" s="9" t="s">
        <v>247</v>
      </c>
      <c r="F12" s="9" t="s">
        <v>189</v>
      </c>
      <c r="G12" s="9" t="s">
        <v>30</v>
      </c>
      <c r="H12" s="9" t="s">
        <v>226</v>
      </c>
      <c r="I12" s="9" t="s">
        <v>243</v>
      </c>
      <c r="J12" s="9" t="s">
        <v>244</v>
      </c>
      <c r="K12" s="9" t="s">
        <v>228</v>
      </c>
      <c r="L12" s="9" t="s">
        <v>229</v>
      </c>
      <c r="M12" s="9" t="s">
        <v>189</v>
      </c>
      <c r="N12" s="9" t="s">
        <v>245</v>
      </c>
      <c r="O12" s="9" t="s">
        <v>10</v>
      </c>
      <c r="P12" s="9">
        <v>115</v>
      </c>
      <c r="Q12" s="9">
        <v>142</v>
      </c>
      <c r="R12" s="9">
        <v>142</v>
      </c>
      <c r="S12" s="16">
        <f t="shared" si="0"/>
        <v>133</v>
      </c>
    </row>
    <row r="13" spans="2:19">
      <c r="B13" s="9" t="s">
        <v>228</v>
      </c>
      <c r="C13" s="9" t="s">
        <v>246</v>
      </c>
      <c r="D13" s="9" t="s">
        <v>226</v>
      </c>
      <c r="E13" s="9" t="s">
        <v>247</v>
      </c>
      <c r="F13" s="9" t="s">
        <v>189</v>
      </c>
      <c r="G13" s="9" t="s">
        <v>30</v>
      </c>
      <c r="H13" s="9" t="s">
        <v>226</v>
      </c>
      <c r="I13" s="9" t="s">
        <v>243</v>
      </c>
      <c r="J13" s="9" t="s">
        <v>244</v>
      </c>
      <c r="K13" s="9" t="s">
        <v>228</v>
      </c>
      <c r="L13" s="9" t="s">
        <v>235</v>
      </c>
      <c r="M13" s="9" t="s">
        <v>189</v>
      </c>
      <c r="N13" s="9" t="s">
        <v>245</v>
      </c>
      <c r="O13" s="9" t="s">
        <v>10</v>
      </c>
      <c r="P13" s="9">
        <v>151</v>
      </c>
      <c r="Q13" s="9">
        <v>165</v>
      </c>
      <c r="R13" s="9">
        <v>255</v>
      </c>
      <c r="S13" s="16">
        <f t="shared" si="0"/>
        <v>190.33333333333334</v>
      </c>
    </row>
    <row r="14" spans="2:19">
      <c r="B14" s="9" t="s">
        <v>228</v>
      </c>
      <c r="C14" s="9" t="s">
        <v>227</v>
      </c>
      <c r="D14" s="9" t="s">
        <v>226</v>
      </c>
      <c r="E14" s="9" t="s">
        <v>170</v>
      </c>
      <c r="F14" s="9" t="s">
        <v>32</v>
      </c>
      <c r="G14" s="9" t="s">
        <v>30</v>
      </c>
      <c r="H14" s="9" t="s">
        <v>248</v>
      </c>
      <c r="I14" s="9" t="s">
        <v>249</v>
      </c>
      <c r="J14" s="9" t="s">
        <v>250</v>
      </c>
      <c r="K14" s="9" t="s">
        <v>251</v>
      </c>
      <c r="L14" s="9" t="s">
        <v>242</v>
      </c>
      <c r="M14" s="9" t="s">
        <v>32</v>
      </c>
      <c r="N14" s="9" t="s">
        <v>230</v>
      </c>
      <c r="O14" s="9" t="s">
        <v>10</v>
      </c>
      <c r="P14" s="9">
        <v>155</v>
      </c>
      <c r="Q14" s="9">
        <v>170</v>
      </c>
      <c r="R14" s="9">
        <v>250</v>
      </c>
      <c r="S14" s="16">
        <f t="shared" si="0"/>
        <v>191.66666666666666</v>
      </c>
    </row>
    <row r="15" spans="2:19">
      <c r="B15" s="9" t="s">
        <v>231</v>
      </c>
      <c r="C15" s="9" t="s">
        <v>232</v>
      </c>
      <c r="D15" s="9" t="s">
        <v>233</v>
      </c>
      <c r="E15" s="9" t="s">
        <v>234</v>
      </c>
      <c r="F15" s="9" t="s">
        <v>194</v>
      </c>
      <c r="G15" s="9" t="s">
        <v>9</v>
      </c>
      <c r="H15" s="9" t="s">
        <v>248</v>
      </c>
      <c r="I15" s="9" t="s">
        <v>249</v>
      </c>
      <c r="J15" s="9" t="s">
        <v>250</v>
      </c>
      <c r="K15" s="9" t="s">
        <v>251</v>
      </c>
      <c r="L15" s="9" t="s">
        <v>235</v>
      </c>
      <c r="M15" s="9" t="s">
        <v>194</v>
      </c>
      <c r="N15" s="9" t="s">
        <v>230</v>
      </c>
      <c r="O15" s="9" t="s">
        <v>10</v>
      </c>
      <c r="P15" s="9">
        <v>105</v>
      </c>
      <c r="Q15" s="9">
        <v>125</v>
      </c>
      <c r="R15" s="9">
        <v>190</v>
      </c>
      <c r="S15" s="16">
        <f t="shared" si="0"/>
        <v>140</v>
      </c>
    </row>
    <row r="16" spans="2:19">
      <c r="B16" s="9" t="s">
        <v>231</v>
      </c>
      <c r="C16" s="9" t="s">
        <v>232</v>
      </c>
      <c r="D16" s="9" t="s">
        <v>233</v>
      </c>
      <c r="E16" s="9" t="s">
        <v>234</v>
      </c>
      <c r="F16" s="9" t="s">
        <v>191</v>
      </c>
      <c r="G16" s="9" t="s">
        <v>252</v>
      </c>
      <c r="H16" s="9" t="s">
        <v>65</v>
      </c>
      <c r="I16" s="9" t="s">
        <v>253</v>
      </c>
      <c r="J16" s="9" t="s">
        <v>254</v>
      </c>
      <c r="K16" s="9" t="s">
        <v>255</v>
      </c>
      <c r="L16" s="9" t="s">
        <v>229</v>
      </c>
      <c r="M16" s="9" t="s">
        <v>191</v>
      </c>
      <c r="N16" s="9" t="s">
        <v>230</v>
      </c>
      <c r="O16" s="9" t="s">
        <v>10</v>
      </c>
      <c r="P16" s="9">
        <v>101</v>
      </c>
      <c r="Q16" s="9">
        <v>114</v>
      </c>
      <c r="R16" s="9">
        <v>200</v>
      </c>
      <c r="S16" s="16">
        <f t="shared" si="0"/>
        <v>138.33333333333334</v>
      </c>
    </row>
    <row r="17" spans="2:19">
      <c r="B17" s="9" t="s">
        <v>231</v>
      </c>
      <c r="C17" s="9" t="s">
        <v>232</v>
      </c>
      <c r="D17" s="9" t="s">
        <v>233</v>
      </c>
      <c r="E17" s="9" t="s">
        <v>234</v>
      </c>
      <c r="F17" s="9" t="s">
        <v>201</v>
      </c>
      <c r="G17" s="9" t="s">
        <v>9</v>
      </c>
      <c r="H17" s="9" t="s">
        <v>256</v>
      </c>
      <c r="I17" s="9" t="s">
        <v>257</v>
      </c>
      <c r="J17" s="9" t="s">
        <v>258</v>
      </c>
      <c r="K17" s="9" t="s">
        <v>259</v>
      </c>
      <c r="L17" s="9" t="s">
        <v>235</v>
      </c>
      <c r="M17" s="9" t="s">
        <v>201</v>
      </c>
      <c r="N17" s="9" t="s">
        <v>230</v>
      </c>
      <c r="O17" s="9" t="s">
        <v>10</v>
      </c>
      <c r="P17" s="9">
        <v>530</v>
      </c>
      <c r="Q17" s="9">
        <v>650</v>
      </c>
      <c r="R17" s="9">
        <v>1050</v>
      </c>
      <c r="S17" s="16">
        <f t="shared" si="0"/>
        <v>743.33333333333337</v>
      </c>
    </row>
    <row r="18" spans="2:19">
      <c r="B18" s="9" t="s">
        <v>228</v>
      </c>
      <c r="C18" s="9" t="s">
        <v>227</v>
      </c>
      <c r="D18" s="9" t="s">
        <v>226</v>
      </c>
      <c r="E18" s="9" t="s">
        <v>170</v>
      </c>
      <c r="F18" s="9" t="s">
        <v>177</v>
      </c>
      <c r="G18" s="9" t="s">
        <v>30</v>
      </c>
      <c r="H18" s="9" t="s">
        <v>226</v>
      </c>
      <c r="I18" s="9" t="s">
        <v>260</v>
      </c>
      <c r="J18" s="9" t="s">
        <v>261</v>
      </c>
      <c r="K18" s="9" t="s">
        <v>251</v>
      </c>
      <c r="L18" s="9" t="s">
        <v>235</v>
      </c>
      <c r="M18" s="9" t="s">
        <v>177</v>
      </c>
      <c r="N18" s="9" t="s">
        <v>230</v>
      </c>
      <c r="O18" s="9" t="s">
        <v>10</v>
      </c>
      <c r="P18" s="9">
        <v>115</v>
      </c>
      <c r="Q18" s="9">
        <v>120</v>
      </c>
      <c r="R18" s="9">
        <v>205</v>
      </c>
      <c r="S18" s="16">
        <f t="shared" si="0"/>
        <v>146.66666666666666</v>
      </c>
    </row>
    <row r="19" spans="2:19">
      <c r="B19" s="9" t="s">
        <v>228</v>
      </c>
      <c r="C19" s="9" t="s">
        <v>246</v>
      </c>
      <c r="D19" s="9" t="s">
        <v>226</v>
      </c>
      <c r="E19" s="9" t="s">
        <v>247</v>
      </c>
      <c r="F19" s="9" t="s">
        <v>55</v>
      </c>
      <c r="G19" s="9" t="s">
        <v>30</v>
      </c>
      <c r="H19" s="9" t="s">
        <v>226</v>
      </c>
      <c r="I19" s="9" t="s">
        <v>262</v>
      </c>
      <c r="J19" s="9" t="s">
        <v>263</v>
      </c>
      <c r="K19" s="9" t="s">
        <v>228</v>
      </c>
      <c r="L19" s="9" t="s">
        <v>235</v>
      </c>
      <c r="M19" s="9" t="s">
        <v>55</v>
      </c>
      <c r="N19" s="9" t="s">
        <v>245</v>
      </c>
      <c r="O19" s="9" t="s">
        <v>10</v>
      </c>
      <c r="P19" s="9">
        <v>65</v>
      </c>
      <c r="Q19" s="9">
        <v>74</v>
      </c>
      <c r="R19" s="9">
        <v>119</v>
      </c>
      <c r="S19" s="16">
        <f t="shared" si="0"/>
        <v>86</v>
      </c>
    </row>
    <row r="20" spans="2:19">
      <c r="B20" s="9" t="s">
        <v>231</v>
      </c>
      <c r="C20" s="9" t="s">
        <v>232</v>
      </c>
      <c r="D20" s="9" t="s">
        <v>233</v>
      </c>
      <c r="E20" s="9" t="s">
        <v>234</v>
      </c>
      <c r="F20" s="9" t="s">
        <v>26</v>
      </c>
      <c r="G20" s="9" t="s">
        <v>9</v>
      </c>
      <c r="H20" s="9" t="s">
        <v>248</v>
      </c>
      <c r="I20" s="9" t="s">
        <v>264</v>
      </c>
      <c r="J20" s="9" t="s">
        <v>265</v>
      </c>
      <c r="K20" s="9" t="s">
        <v>251</v>
      </c>
      <c r="L20" s="9" t="s">
        <v>235</v>
      </c>
      <c r="M20" s="9" t="s">
        <v>26</v>
      </c>
      <c r="N20" s="9" t="s">
        <v>230</v>
      </c>
      <c r="O20" s="9" t="s">
        <v>10</v>
      </c>
      <c r="P20" s="9">
        <v>90</v>
      </c>
      <c r="Q20" s="9">
        <v>100</v>
      </c>
      <c r="R20" s="9">
        <v>180</v>
      </c>
      <c r="S20" s="16">
        <f t="shared" si="0"/>
        <v>123.33333333333333</v>
      </c>
    </row>
    <row r="21" spans="2:19">
      <c r="B21" s="9" t="s">
        <v>231</v>
      </c>
      <c r="C21" s="9" t="s">
        <v>232</v>
      </c>
      <c r="D21" s="9" t="s">
        <v>233</v>
      </c>
      <c r="E21" s="9" t="s">
        <v>234</v>
      </c>
      <c r="F21" s="9" t="s">
        <v>192</v>
      </c>
      <c r="G21" s="9" t="s">
        <v>252</v>
      </c>
      <c r="H21" s="9" t="s">
        <v>65</v>
      </c>
      <c r="I21" s="9" t="s">
        <v>266</v>
      </c>
      <c r="J21" s="9" t="s">
        <v>267</v>
      </c>
      <c r="K21" s="9" t="s">
        <v>255</v>
      </c>
      <c r="L21" s="9" t="s">
        <v>229</v>
      </c>
      <c r="M21" s="9" t="s">
        <v>192</v>
      </c>
      <c r="N21" s="9" t="s">
        <v>230</v>
      </c>
      <c r="O21" s="9" t="s">
        <v>10</v>
      </c>
      <c r="P21" s="9">
        <v>101</v>
      </c>
      <c r="Q21" s="9">
        <v>114</v>
      </c>
      <c r="R21" s="9">
        <v>200</v>
      </c>
      <c r="S21" s="16">
        <f t="shared" si="0"/>
        <v>138.33333333333334</v>
      </c>
    </row>
    <row r="22" spans="2:19">
      <c r="B22" s="9" t="s">
        <v>231</v>
      </c>
      <c r="C22" s="9" t="s">
        <v>232</v>
      </c>
      <c r="D22" s="9" t="s">
        <v>233</v>
      </c>
      <c r="E22" s="9" t="s">
        <v>234</v>
      </c>
      <c r="F22" s="9" t="s">
        <v>180</v>
      </c>
      <c r="G22" s="9" t="s">
        <v>252</v>
      </c>
      <c r="H22" s="9" t="s">
        <v>233</v>
      </c>
      <c r="I22" s="9" t="s">
        <v>268</v>
      </c>
      <c r="J22" s="9" t="s">
        <v>269</v>
      </c>
      <c r="K22" s="9" t="s">
        <v>270</v>
      </c>
      <c r="L22" s="9" t="s">
        <v>229</v>
      </c>
      <c r="M22" s="9" t="s">
        <v>180</v>
      </c>
      <c r="N22" s="9" t="s">
        <v>245</v>
      </c>
      <c r="O22" s="9" t="s">
        <v>10</v>
      </c>
      <c r="P22" s="9">
        <v>55</v>
      </c>
      <c r="Q22" s="9">
        <v>83</v>
      </c>
      <c r="R22" s="9">
        <v>131</v>
      </c>
      <c r="S22" s="16">
        <f t="shared" si="0"/>
        <v>89.666666666666671</v>
      </c>
    </row>
    <row r="23" spans="2:19">
      <c r="B23" s="9" t="s">
        <v>228</v>
      </c>
      <c r="C23" s="9" t="s">
        <v>227</v>
      </c>
      <c r="D23" s="9" t="s">
        <v>226</v>
      </c>
      <c r="E23" s="9" t="s">
        <v>170</v>
      </c>
      <c r="F23" s="9" t="s">
        <v>46</v>
      </c>
      <c r="G23" s="9" t="s">
        <v>30</v>
      </c>
      <c r="H23" s="9" t="s">
        <v>226</v>
      </c>
      <c r="I23" s="9" t="s">
        <v>271</v>
      </c>
      <c r="J23" s="9" t="s">
        <v>272</v>
      </c>
      <c r="K23" s="9" t="s">
        <v>228</v>
      </c>
      <c r="L23" s="9" t="s">
        <v>229</v>
      </c>
      <c r="M23" s="9" t="s">
        <v>46</v>
      </c>
      <c r="N23" s="9" t="s">
        <v>245</v>
      </c>
      <c r="O23" s="9" t="s">
        <v>10</v>
      </c>
      <c r="P23" s="9">
        <v>166</v>
      </c>
      <c r="Q23" s="9">
        <v>166</v>
      </c>
      <c r="R23" s="9">
        <v>166</v>
      </c>
      <c r="S23" s="16">
        <f t="shared" si="0"/>
        <v>166</v>
      </c>
    </row>
    <row r="24" spans="2:19">
      <c r="B24" s="9" t="s">
        <v>273</v>
      </c>
      <c r="C24" s="9" t="s">
        <v>273</v>
      </c>
      <c r="D24" s="9" t="s">
        <v>274</v>
      </c>
      <c r="E24" s="9" t="s">
        <v>275</v>
      </c>
      <c r="F24" s="9" t="s">
        <v>199</v>
      </c>
      <c r="G24" s="9" t="s">
        <v>30</v>
      </c>
      <c r="H24" s="9" t="s">
        <v>226</v>
      </c>
      <c r="I24" s="9" t="s">
        <v>271</v>
      </c>
      <c r="J24" s="9" t="s">
        <v>272</v>
      </c>
      <c r="K24" s="9" t="s">
        <v>228</v>
      </c>
      <c r="L24" s="9" t="s">
        <v>235</v>
      </c>
      <c r="M24" s="9" t="s">
        <v>199</v>
      </c>
      <c r="N24" s="9" t="s">
        <v>230</v>
      </c>
      <c r="O24" s="9" t="s">
        <v>10</v>
      </c>
      <c r="P24" s="9">
        <v>222</v>
      </c>
      <c r="Q24" s="9">
        <v>250</v>
      </c>
      <c r="R24" s="9">
        <v>431</v>
      </c>
      <c r="S24" s="16">
        <f t="shared" si="0"/>
        <v>301</v>
      </c>
    </row>
    <row r="25" spans="2:19">
      <c r="B25" s="9" t="s">
        <v>228</v>
      </c>
      <c r="C25" s="9" t="s">
        <v>246</v>
      </c>
      <c r="D25" s="9" t="s">
        <v>226</v>
      </c>
      <c r="E25" s="9" t="s">
        <v>247</v>
      </c>
      <c r="F25" s="9" t="s">
        <v>187</v>
      </c>
      <c r="G25" s="9" t="s">
        <v>30</v>
      </c>
      <c r="H25" s="9" t="s">
        <v>226</v>
      </c>
      <c r="I25" s="9" t="s">
        <v>271</v>
      </c>
      <c r="J25" s="9" t="s">
        <v>272</v>
      </c>
      <c r="K25" s="9" t="s">
        <v>228</v>
      </c>
      <c r="L25" s="9" t="s">
        <v>229</v>
      </c>
      <c r="M25" s="9" t="s">
        <v>187</v>
      </c>
      <c r="N25" s="9" t="s">
        <v>245</v>
      </c>
      <c r="O25" s="9" t="s">
        <v>10</v>
      </c>
      <c r="P25" s="9">
        <v>114</v>
      </c>
      <c r="Q25" s="9">
        <v>114</v>
      </c>
      <c r="R25" s="9">
        <v>114</v>
      </c>
      <c r="S25" s="16">
        <f t="shared" si="0"/>
        <v>114</v>
      </c>
    </row>
    <row r="26" spans="2:19">
      <c r="B26" s="9" t="s">
        <v>231</v>
      </c>
      <c r="C26" s="9" t="s">
        <v>232</v>
      </c>
      <c r="D26" s="9" t="s">
        <v>233</v>
      </c>
      <c r="E26" s="9" t="s">
        <v>234</v>
      </c>
      <c r="F26" s="9" t="s">
        <v>196</v>
      </c>
      <c r="G26" s="9" t="s">
        <v>30</v>
      </c>
      <c r="H26" s="9" t="s">
        <v>226</v>
      </c>
      <c r="I26" s="9" t="s">
        <v>271</v>
      </c>
      <c r="J26" s="9" t="s">
        <v>272</v>
      </c>
      <c r="K26" s="9" t="s">
        <v>228</v>
      </c>
      <c r="L26" s="9" t="s">
        <v>235</v>
      </c>
      <c r="M26" s="9" t="s">
        <v>196</v>
      </c>
      <c r="N26" s="9" t="s">
        <v>230</v>
      </c>
      <c r="O26" s="9" t="s">
        <v>10</v>
      </c>
      <c r="P26" s="9">
        <v>145</v>
      </c>
      <c r="Q26" s="9">
        <v>165</v>
      </c>
      <c r="R26" s="9">
        <v>280</v>
      </c>
      <c r="S26" s="16">
        <f t="shared" si="0"/>
        <v>196.66666666666666</v>
      </c>
    </row>
    <row r="27" spans="2:19">
      <c r="B27" s="9" t="s">
        <v>231</v>
      </c>
      <c r="C27" s="9" t="s">
        <v>232</v>
      </c>
      <c r="D27" s="9" t="s">
        <v>233</v>
      </c>
      <c r="E27" s="9" t="s">
        <v>234</v>
      </c>
      <c r="F27" s="9" t="s">
        <v>196</v>
      </c>
      <c r="G27" s="9" t="s">
        <v>30</v>
      </c>
      <c r="H27" s="9" t="s">
        <v>226</v>
      </c>
      <c r="I27" s="9" t="s">
        <v>271</v>
      </c>
      <c r="J27" s="9" t="s">
        <v>272</v>
      </c>
      <c r="K27" s="9" t="s">
        <v>228</v>
      </c>
      <c r="L27" s="9" t="s">
        <v>235</v>
      </c>
      <c r="M27" s="9" t="s">
        <v>196</v>
      </c>
      <c r="N27" s="9" t="s">
        <v>230</v>
      </c>
      <c r="O27" s="9" t="s">
        <v>10</v>
      </c>
      <c r="P27" s="9">
        <v>145</v>
      </c>
      <c r="Q27" s="9">
        <v>164</v>
      </c>
      <c r="R27" s="9">
        <v>278</v>
      </c>
      <c r="S27" s="16">
        <f t="shared" si="0"/>
        <v>195.66666666666666</v>
      </c>
    </row>
    <row r="28" spans="2:19">
      <c r="B28" s="9" t="s">
        <v>276</v>
      </c>
      <c r="C28" s="9" t="s">
        <v>276</v>
      </c>
      <c r="D28" s="9" t="s">
        <v>277</v>
      </c>
      <c r="E28" s="9" t="s">
        <v>278</v>
      </c>
      <c r="F28" s="9" t="s">
        <v>204</v>
      </c>
      <c r="G28" s="9" t="s">
        <v>30</v>
      </c>
      <c r="H28" s="9" t="s">
        <v>226</v>
      </c>
      <c r="I28" s="9" t="s">
        <v>271</v>
      </c>
      <c r="J28" s="9" t="s">
        <v>272</v>
      </c>
      <c r="K28" s="9" t="s">
        <v>228</v>
      </c>
      <c r="L28" s="9" t="s">
        <v>229</v>
      </c>
      <c r="M28" s="9" t="s">
        <v>204</v>
      </c>
      <c r="N28" s="9" t="s">
        <v>230</v>
      </c>
      <c r="O28" s="9" t="s">
        <v>10</v>
      </c>
      <c r="P28" s="9">
        <v>194</v>
      </c>
      <c r="Q28" s="9">
        <v>212</v>
      </c>
      <c r="R28" s="9">
        <v>3058</v>
      </c>
      <c r="S28" s="16">
        <f t="shared" si="0"/>
        <v>1154.6666666666667</v>
      </c>
    </row>
    <row r="29" spans="2:19">
      <c r="B29" s="9" t="s">
        <v>231</v>
      </c>
      <c r="C29" s="9" t="s">
        <v>232</v>
      </c>
      <c r="D29" s="9" t="s">
        <v>233</v>
      </c>
      <c r="E29" s="9" t="s">
        <v>234</v>
      </c>
      <c r="F29" s="9" t="s">
        <v>186</v>
      </c>
      <c r="G29" s="9" t="s">
        <v>252</v>
      </c>
      <c r="H29" s="9" t="s">
        <v>233</v>
      </c>
      <c r="I29" s="9" t="s">
        <v>279</v>
      </c>
      <c r="J29" s="9" t="s">
        <v>280</v>
      </c>
      <c r="K29" s="9" t="s">
        <v>270</v>
      </c>
      <c r="L29" s="9" t="s">
        <v>229</v>
      </c>
      <c r="M29" s="9" t="s">
        <v>186</v>
      </c>
      <c r="N29" s="9" t="s">
        <v>245</v>
      </c>
      <c r="O29" s="9" t="s">
        <v>10</v>
      </c>
      <c r="P29" s="9">
        <v>67</v>
      </c>
      <c r="Q29" s="9">
        <v>105</v>
      </c>
      <c r="R29" s="9">
        <v>209</v>
      </c>
      <c r="S29" s="16">
        <f t="shared" si="0"/>
        <v>127</v>
      </c>
    </row>
    <row r="30" spans="2:19">
      <c r="B30" s="9" t="s">
        <v>228</v>
      </c>
      <c r="C30" s="9" t="s">
        <v>227</v>
      </c>
      <c r="D30" s="9" t="s">
        <v>226</v>
      </c>
      <c r="E30" s="9" t="s">
        <v>170</v>
      </c>
      <c r="F30" s="9" t="s">
        <v>35</v>
      </c>
      <c r="G30" s="9" t="s">
        <v>30</v>
      </c>
      <c r="H30" s="9" t="s">
        <v>226</v>
      </c>
      <c r="I30" s="9" t="s">
        <v>281</v>
      </c>
      <c r="J30" s="9" t="s">
        <v>282</v>
      </c>
      <c r="K30" s="9" t="s">
        <v>228</v>
      </c>
      <c r="L30" s="9" t="s">
        <v>229</v>
      </c>
      <c r="M30" s="9" t="s">
        <v>35</v>
      </c>
      <c r="N30" s="9" t="s">
        <v>245</v>
      </c>
      <c r="O30" s="9" t="s">
        <v>10</v>
      </c>
      <c r="P30" s="9">
        <v>91</v>
      </c>
      <c r="Q30" s="9">
        <v>103</v>
      </c>
      <c r="R30" s="9">
        <v>176</v>
      </c>
      <c r="S30" s="16">
        <f t="shared" si="0"/>
        <v>123.33333333333333</v>
      </c>
    </row>
    <row r="31" spans="2:19">
      <c r="B31" s="9" t="s">
        <v>228</v>
      </c>
      <c r="C31" s="9" t="s">
        <v>227</v>
      </c>
      <c r="D31" s="9" t="s">
        <v>226</v>
      </c>
      <c r="E31" s="9" t="s">
        <v>170</v>
      </c>
      <c r="F31" s="9" t="s">
        <v>179</v>
      </c>
      <c r="G31" s="9" t="s">
        <v>30</v>
      </c>
      <c r="H31" s="9" t="s">
        <v>224</v>
      </c>
      <c r="I31" s="9" t="s">
        <v>225</v>
      </c>
      <c r="J31" s="9" t="s">
        <v>283</v>
      </c>
      <c r="K31" s="9" t="s">
        <v>222</v>
      </c>
      <c r="L31" s="9" t="s">
        <v>242</v>
      </c>
      <c r="M31" s="9" t="s">
        <v>179</v>
      </c>
      <c r="N31" s="9" t="s">
        <v>230</v>
      </c>
      <c r="O31" s="9" t="s">
        <v>10</v>
      </c>
      <c r="P31" s="9">
        <v>119</v>
      </c>
      <c r="Q31" s="9">
        <v>134</v>
      </c>
      <c r="R31" s="9">
        <v>201</v>
      </c>
      <c r="S31" s="16">
        <f t="shared" si="0"/>
        <v>151.33333333333334</v>
      </c>
    </row>
    <row r="32" spans="2:19">
      <c r="B32" s="9" t="s">
        <v>228</v>
      </c>
      <c r="C32" s="9" t="s">
        <v>227</v>
      </c>
      <c r="D32" s="9" t="s">
        <v>226</v>
      </c>
      <c r="E32" s="9" t="s">
        <v>170</v>
      </c>
      <c r="F32" s="9" t="s">
        <v>184</v>
      </c>
      <c r="G32" s="9" t="s">
        <v>284</v>
      </c>
      <c r="H32" s="9" t="s">
        <v>233</v>
      </c>
      <c r="I32" s="9" t="s">
        <v>234</v>
      </c>
      <c r="J32" s="9" t="s">
        <v>232</v>
      </c>
      <c r="K32" s="9" t="s">
        <v>270</v>
      </c>
      <c r="L32" s="9" t="s">
        <v>235</v>
      </c>
      <c r="M32" s="9" t="s">
        <v>184</v>
      </c>
      <c r="N32" s="9" t="s">
        <v>230</v>
      </c>
      <c r="O32" s="9" t="s">
        <v>10</v>
      </c>
      <c r="P32" s="9">
        <v>110</v>
      </c>
      <c r="Q32" s="9">
        <v>140</v>
      </c>
      <c r="R32" s="9">
        <v>220</v>
      </c>
      <c r="S32" s="16">
        <f t="shared" si="0"/>
        <v>156.66666666666666</v>
      </c>
    </row>
    <row r="33" spans="2:19">
      <c r="B33" s="9" t="s">
        <v>259</v>
      </c>
      <c r="C33" s="9" t="s">
        <v>285</v>
      </c>
      <c r="D33" s="9" t="s">
        <v>256</v>
      </c>
      <c r="E33" s="9" t="s">
        <v>257</v>
      </c>
      <c r="F33" s="9" t="s">
        <v>14</v>
      </c>
      <c r="G33" s="9" t="s">
        <v>9</v>
      </c>
      <c r="H33" s="9" t="s">
        <v>233</v>
      </c>
      <c r="I33" s="9" t="s">
        <v>234</v>
      </c>
      <c r="J33" s="9" t="s">
        <v>232</v>
      </c>
      <c r="K33" s="9" t="s">
        <v>270</v>
      </c>
      <c r="L33" s="9" t="s">
        <v>235</v>
      </c>
      <c r="M33" s="9" t="s">
        <v>14</v>
      </c>
      <c r="N33" s="9" t="s">
        <v>230</v>
      </c>
      <c r="O33" s="9" t="s">
        <v>10</v>
      </c>
      <c r="P33" s="9">
        <v>530</v>
      </c>
      <c r="Q33" s="9">
        <v>650</v>
      </c>
      <c r="R33" s="9">
        <v>1050</v>
      </c>
      <c r="S33" s="16">
        <f t="shared" si="0"/>
        <v>743.33333333333337</v>
      </c>
    </row>
    <row r="34" spans="2:19">
      <c r="B34" s="9" t="s">
        <v>251</v>
      </c>
      <c r="C34" s="9" t="s">
        <v>250</v>
      </c>
      <c r="D34" s="9" t="s">
        <v>248</v>
      </c>
      <c r="E34" s="9" t="s">
        <v>249</v>
      </c>
      <c r="F34" s="9" t="s">
        <v>16</v>
      </c>
      <c r="G34" s="9" t="s">
        <v>9</v>
      </c>
      <c r="H34" s="9" t="s">
        <v>233</v>
      </c>
      <c r="I34" s="9" t="s">
        <v>234</v>
      </c>
      <c r="J34" s="9" t="s">
        <v>232</v>
      </c>
      <c r="K34" s="9" t="s">
        <v>270</v>
      </c>
      <c r="L34" s="9" t="s">
        <v>235</v>
      </c>
      <c r="M34" s="9" t="s">
        <v>16</v>
      </c>
      <c r="N34" s="9" t="s">
        <v>230</v>
      </c>
      <c r="O34" s="9" t="s">
        <v>10</v>
      </c>
      <c r="P34" s="9">
        <v>105</v>
      </c>
      <c r="Q34" s="9">
        <v>125</v>
      </c>
      <c r="R34" s="9">
        <v>190</v>
      </c>
      <c r="S34" s="16">
        <f t="shared" si="0"/>
        <v>140</v>
      </c>
    </row>
    <row r="35" spans="2:19">
      <c r="B35" s="9" t="s">
        <v>286</v>
      </c>
      <c r="C35" s="9" t="s">
        <v>254</v>
      </c>
      <c r="D35" s="9" t="s">
        <v>65</v>
      </c>
      <c r="E35" s="9" t="s">
        <v>253</v>
      </c>
      <c r="F35" s="9" t="s">
        <v>18</v>
      </c>
      <c r="G35" s="9" t="s">
        <v>287</v>
      </c>
      <c r="H35" s="9" t="s">
        <v>233</v>
      </c>
      <c r="I35" s="9" t="s">
        <v>234</v>
      </c>
      <c r="J35" s="9" t="s">
        <v>232</v>
      </c>
      <c r="K35" s="9" t="s">
        <v>270</v>
      </c>
      <c r="L35" s="9" t="s">
        <v>229</v>
      </c>
      <c r="M35" s="9" t="s">
        <v>18</v>
      </c>
      <c r="N35" s="9" t="s">
        <v>230</v>
      </c>
      <c r="O35" s="9" t="s">
        <v>10</v>
      </c>
      <c r="P35" s="9">
        <v>101</v>
      </c>
      <c r="Q35" s="9">
        <v>119</v>
      </c>
      <c r="R35" s="9">
        <v>200</v>
      </c>
      <c r="S35" s="16">
        <f t="shared" si="0"/>
        <v>140</v>
      </c>
    </row>
    <row r="36" spans="2:19">
      <c r="B36" s="9" t="s">
        <v>228</v>
      </c>
      <c r="C36" s="9" t="s">
        <v>246</v>
      </c>
      <c r="D36" s="9" t="s">
        <v>226</v>
      </c>
      <c r="E36" s="9" t="s">
        <v>247</v>
      </c>
      <c r="F36" s="9" t="s">
        <v>19</v>
      </c>
      <c r="G36" s="9" t="s">
        <v>287</v>
      </c>
      <c r="H36" s="9" t="s">
        <v>233</v>
      </c>
      <c r="I36" s="9" t="s">
        <v>234</v>
      </c>
      <c r="J36" s="9" t="s">
        <v>232</v>
      </c>
      <c r="K36" s="9" t="s">
        <v>270</v>
      </c>
      <c r="L36" s="9" t="s">
        <v>235</v>
      </c>
      <c r="M36" s="9" t="s">
        <v>19</v>
      </c>
      <c r="N36" s="9" t="s">
        <v>230</v>
      </c>
      <c r="O36" s="9" t="s">
        <v>10</v>
      </c>
      <c r="P36" s="9">
        <v>79</v>
      </c>
      <c r="Q36" s="9">
        <v>132</v>
      </c>
      <c r="R36" s="9">
        <v>174</v>
      </c>
      <c r="S36" s="16">
        <f t="shared" si="0"/>
        <v>128.33333333333334</v>
      </c>
    </row>
    <row r="37" spans="2:19">
      <c r="B37" s="9" t="s">
        <v>286</v>
      </c>
      <c r="C37" s="9" t="s">
        <v>267</v>
      </c>
      <c r="D37" s="9" t="s">
        <v>65</v>
      </c>
      <c r="E37" s="9" t="s">
        <v>266</v>
      </c>
      <c r="F37" s="9" t="s">
        <v>197</v>
      </c>
      <c r="G37" s="9" t="s">
        <v>288</v>
      </c>
      <c r="H37" s="9" t="s">
        <v>233</v>
      </c>
      <c r="I37" s="9" t="s">
        <v>234</v>
      </c>
      <c r="J37" s="9" t="s">
        <v>232</v>
      </c>
      <c r="K37" s="9" t="s">
        <v>270</v>
      </c>
      <c r="L37" s="9" t="s">
        <v>229</v>
      </c>
      <c r="M37" s="9" t="s">
        <v>197</v>
      </c>
      <c r="N37" s="9" t="s">
        <v>230</v>
      </c>
      <c r="O37" s="9" t="s">
        <v>10</v>
      </c>
      <c r="P37" s="9">
        <v>125</v>
      </c>
      <c r="Q37" s="9">
        <v>240</v>
      </c>
      <c r="R37" s="9">
        <v>240</v>
      </c>
      <c r="S37" s="16">
        <f t="shared" si="0"/>
        <v>201.66666666666666</v>
      </c>
    </row>
    <row r="38" spans="2:19">
      <c r="B38" s="9" t="s">
        <v>251</v>
      </c>
      <c r="C38" s="9" t="s">
        <v>265</v>
      </c>
      <c r="D38" s="9" t="s">
        <v>248</v>
      </c>
      <c r="E38" s="9" t="s">
        <v>264</v>
      </c>
      <c r="F38" s="9" t="s">
        <v>181</v>
      </c>
      <c r="G38" s="9" t="s">
        <v>9</v>
      </c>
      <c r="H38" s="9" t="s">
        <v>233</v>
      </c>
      <c r="I38" s="9" t="s">
        <v>234</v>
      </c>
      <c r="J38" s="9" t="s">
        <v>232</v>
      </c>
      <c r="K38" s="9" t="s">
        <v>270</v>
      </c>
      <c r="L38" s="9" t="s">
        <v>235</v>
      </c>
      <c r="M38" s="9" t="s">
        <v>181</v>
      </c>
      <c r="N38" s="9" t="s">
        <v>230</v>
      </c>
      <c r="O38" s="9" t="s">
        <v>10</v>
      </c>
      <c r="P38" s="9">
        <v>90</v>
      </c>
      <c r="Q38" s="9">
        <v>100</v>
      </c>
      <c r="R38" s="9">
        <v>180</v>
      </c>
      <c r="S38" s="16">
        <f t="shared" si="0"/>
        <v>123.33333333333333</v>
      </c>
    </row>
    <row r="39" spans="2:19">
      <c r="B39" s="17" t="s">
        <v>276</v>
      </c>
      <c r="C39" s="17" t="s">
        <v>276</v>
      </c>
      <c r="D39" s="17" t="s">
        <v>277</v>
      </c>
      <c r="E39" s="17" t="s">
        <v>278</v>
      </c>
      <c r="F39" s="9" t="s">
        <v>185</v>
      </c>
      <c r="G39" s="17" t="s">
        <v>289</v>
      </c>
      <c r="H39" s="17" t="s">
        <v>233</v>
      </c>
      <c r="I39" s="17" t="s">
        <v>234</v>
      </c>
      <c r="J39" s="9" t="s">
        <v>232</v>
      </c>
      <c r="K39" s="9" t="s">
        <v>270</v>
      </c>
      <c r="L39" s="9" t="s">
        <v>229</v>
      </c>
      <c r="M39" s="9" t="s">
        <v>185</v>
      </c>
      <c r="N39" s="9" t="s">
        <v>230</v>
      </c>
      <c r="O39" s="9" t="s">
        <v>10</v>
      </c>
      <c r="P39" s="9">
        <v>65</v>
      </c>
      <c r="Q39" s="9">
        <v>95</v>
      </c>
      <c r="R39" s="9">
        <v>181</v>
      </c>
      <c r="S39" s="16">
        <f t="shared" ref="S39:S62" si="1">AVERAGE(P39,Q39,R39)</f>
        <v>113.66666666666667</v>
      </c>
    </row>
    <row r="40" spans="2:19">
      <c r="B40" s="9" t="s">
        <v>290</v>
      </c>
      <c r="C40" s="9" t="s">
        <v>291</v>
      </c>
      <c r="D40" s="9" t="s">
        <v>292</v>
      </c>
      <c r="E40" s="9" t="s">
        <v>293</v>
      </c>
      <c r="F40" s="9" t="s">
        <v>198</v>
      </c>
      <c r="G40" s="9" t="s">
        <v>9</v>
      </c>
      <c r="H40" s="9" t="s">
        <v>233</v>
      </c>
      <c r="I40" s="9" t="s">
        <v>234</v>
      </c>
      <c r="J40" s="9" t="s">
        <v>232</v>
      </c>
      <c r="K40" s="9" t="s">
        <v>270</v>
      </c>
      <c r="L40" s="9" t="s">
        <v>235</v>
      </c>
      <c r="M40" s="9" t="s">
        <v>198</v>
      </c>
      <c r="N40" s="9" t="s">
        <v>230</v>
      </c>
      <c r="O40" s="9" t="s">
        <v>10</v>
      </c>
      <c r="P40" s="9">
        <v>139</v>
      </c>
      <c r="Q40" s="9">
        <v>199</v>
      </c>
      <c r="R40" s="9">
        <v>460</v>
      </c>
      <c r="S40" s="16">
        <f t="shared" si="1"/>
        <v>266</v>
      </c>
    </row>
    <row r="41" spans="2:19">
      <c r="B41" s="9" t="s">
        <v>294</v>
      </c>
      <c r="C41" s="9" t="s">
        <v>295</v>
      </c>
      <c r="D41" s="9" t="s">
        <v>296</v>
      </c>
      <c r="E41" s="9" t="s">
        <v>297</v>
      </c>
      <c r="F41" s="9" t="s">
        <v>203</v>
      </c>
      <c r="G41" s="9" t="s">
        <v>298</v>
      </c>
      <c r="H41" s="9" t="s">
        <v>233</v>
      </c>
      <c r="I41" s="9" t="s">
        <v>234</v>
      </c>
      <c r="J41" s="9" t="s">
        <v>232</v>
      </c>
      <c r="K41" s="9" t="s">
        <v>270</v>
      </c>
      <c r="L41" s="9" t="s">
        <v>235</v>
      </c>
      <c r="M41" s="9" t="s">
        <v>203</v>
      </c>
      <c r="N41" s="9" t="s">
        <v>230</v>
      </c>
      <c r="O41" s="9" t="s">
        <v>10</v>
      </c>
      <c r="P41" s="9">
        <v>400</v>
      </c>
      <c r="Q41" s="9">
        <v>750</v>
      </c>
      <c r="R41" s="9">
        <v>1100</v>
      </c>
      <c r="S41" s="16">
        <f t="shared" si="1"/>
        <v>750</v>
      </c>
    </row>
    <row r="42" spans="2:19">
      <c r="B42" s="9" t="s">
        <v>231</v>
      </c>
      <c r="C42" s="9" t="s">
        <v>232</v>
      </c>
      <c r="D42" s="9" t="s">
        <v>233</v>
      </c>
      <c r="E42" s="9" t="s">
        <v>234</v>
      </c>
      <c r="F42" s="9" t="s">
        <v>21</v>
      </c>
      <c r="G42" s="9" t="s">
        <v>252</v>
      </c>
      <c r="H42" s="9" t="s">
        <v>233</v>
      </c>
      <c r="I42" s="9" t="s">
        <v>299</v>
      </c>
      <c r="J42" s="9" t="s">
        <v>300</v>
      </c>
      <c r="K42" s="9" t="s">
        <v>270</v>
      </c>
      <c r="L42" s="9" t="s">
        <v>229</v>
      </c>
      <c r="M42" s="9" t="s">
        <v>21</v>
      </c>
      <c r="N42" s="9" t="s">
        <v>245</v>
      </c>
      <c r="O42" s="9" t="s">
        <v>10</v>
      </c>
      <c r="P42" s="9">
        <v>55</v>
      </c>
      <c r="Q42" s="9">
        <v>105</v>
      </c>
      <c r="R42" s="9">
        <v>193</v>
      </c>
      <c r="S42" s="16">
        <f t="shared" si="1"/>
        <v>117.66666666666667</v>
      </c>
    </row>
    <row r="43" spans="2:19">
      <c r="B43" s="9" t="s">
        <v>228</v>
      </c>
      <c r="C43" s="9" t="s">
        <v>227</v>
      </c>
      <c r="D43" s="9" t="s">
        <v>226</v>
      </c>
      <c r="E43" s="9" t="s">
        <v>170</v>
      </c>
      <c r="F43" s="9" t="s">
        <v>37</v>
      </c>
      <c r="G43" s="9" t="s">
        <v>30</v>
      </c>
      <c r="H43" s="9" t="s">
        <v>226</v>
      </c>
      <c r="I43" s="9" t="s">
        <v>301</v>
      </c>
      <c r="J43" s="9" t="s">
        <v>302</v>
      </c>
      <c r="K43" s="9" t="s">
        <v>228</v>
      </c>
      <c r="L43" s="9" t="s">
        <v>229</v>
      </c>
      <c r="M43" s="9" t="s">
        <v>37</v>
      </c>
      <c r="N43" s="9" t="s">
        <v>245</v>
      </c>
      <c r="O43" s="9" t="s">
        <v>10</v>
      </c>
      <c r="P43" s="9">
        <v>82</v>
      </c>
      <c r="Q43" s="9">
        <v>91</v>
      </c>
      <c r="R43" s="9">
        <v>161</v>
      </c>
      <c r="S43" s="16">
        <f t="shared" si="1"/>
        <v>111.33333333333333</v>
      </c>
    </row>
    <row r="44" spans="2:19">
      <c r="B44" s="9" t="s">
        <v>231</v>
      </c>
      <c r="C44" s="9" t="s">
        <v>232</v>
      </c>
      <c r="D44" s="9" t="s">
        <v>233</v>
      </c>
      <c r="E44" s="9" t="s">
        <v>234</v>
      </c>
      <c r="F44" s="9" t="s">
        <v>23</v>
      </c>
      <c r="G44" s="9" t="s">
        <v>252</v>
      </c>
      <c r="H44" s="9" t="s">
        <v>233</v>
      </c>
      <c r="I44" s="9" t="s">
        <v>303</v>
      </c>
      <c r="J44" s="9" t="s">
        <v>304</v>
      </c>
      <c r="K44" s="9" t="s">
        <v>270</v>
      </c>
      <c r="L44" s="9" t="s">
        <v>229</v>
      </c>
      <c r="M44" s="9" t="s">
        <v>23</v>
      </c>
      <c r="N44" s="9" t="s">
        <v>245</v>
      </c>
      <c r="O44" s="9" t="s">
        <v>10</v>
      </c>
      <c r="P44" s="9">
        <v>49</v>
      </c>
      <c r="Q44" s="9">
        <v>72</v>
      </c>
      <c r="R44" s="9">
        <v>110</v>
      </c>
      <c r="S44" s="16">
        <f t="shared" si="1"/>
        <v>77</v>
      </c>
    </row>
    <row r="45" spans="2:19">
      <c r="B45" s="9" t="s">
        <v>228</v>
      </c>
      <c r="C45" s="9" t="s">
        <v>227</v>
      </c>
      <c r="D45" s="9" t="s">
        <v>226</v>
      </c>
      <c r="E45" s="9" t="s">
        <v>170</v>
      </c>
      <c r="F45" s="9" t="s">
        <v>36</v>
      </c>
      <c r="G45" s="9" t="s">
        <v>30</v>
      </c>
      <c r="H45" s="9" t="s">
        <v>305</v>
      </c>
      <c r="I45" s="9" t="s">
        <v>306</v>
      </c>
      <c r="J45" s="9" t="s">
        <v>307</v>
      </c>
      <c r="K45" s="9" t="s">
        <v>308</v>
      </c>
      <c r="L45" s="9" t="s">
        <v>229</v>
      </c>
      <c r="M45" s="9" t="s">
        <v>36</v>
      </c>
      <c r="N45" s="9" t="s">
        <v>230</v>
      </c>
      <c r="O45" s="9" t="s">
        <v>10</v>
      </c>
      <c r="P45" s="9">
        <v>140</v>
      </c>
      <c r="Q45" s="9">
        <v>150</v>
      </c>
      <c r="R45" s="9">
        <v>250</v>
      </c>
      <c r="S45" s="16">
        <f t="shared" si="1"/>
        <v>180</v>
      </c>
    </row>
    <row r="46" spans="2:19">
      <c r="B46" s="9" t="s">
        <v>228</v>
      </c>
      <c r="C46" s="9" t="s">
        <v>227</v>
      </c>
      <c r="D46" s="9" t="s">
        <v>226</v>
      </c>
      <c r="E46" s="9" t="s">
        <v>170</v>
      </c>
      <c r="F46" s="9" t="s">
        <v>38</v>
      </c>
      <c r="G46" s="9" t="s">
        <v>30</v>
      </c>
      <c r="H46" s="9" t="s">
        <v>309</v>
      </c>
      <c r="I46" s="9" t="s">
        <v>310</v>
      </c>
      <c r="J46" s="9" t="s">
        <v>311</v>
      </c>
      <c r="K46" s="9" t="s">
        <v>312</v>
      </c>
      <c r="L46" s="9" t="s">
        <v>235</v>
      </c>
      <c r="M46" s="9" t="s">
        <v>38</v>
      </c>
      <c r="N46" s="9" t="s">
        <v>230</v>
      </c>
      <c r="O46" s="9" t="s">
        <v>10</v>
      </c>
      <c r="P46" s="9">
        <v>120</v>
      </c>
      <c r="Q46" s="9">
        <v>130</v>
      </c>
      <c r="R46" s="9">
        <v>230</v>
      </c>
      <c r="S46" s="16">
        <f t="shared" si="1"/>
        <v>160</v>
      </c>
    </row>
    <row r="47" spans="2:19">
      <c r="B47" s="9" t="s">
        <v>228</v>
      </c>
      <c r="C47" s="9" t="s">
        <v>227</v>
      </c>
      <c r="D47" s="9" t="s">
        <v>226</v>
      </c>
      <c r="E47" s="9" t="s">
        <v>170</v>
      </c>
      <c r="F47" s="9" t="s">
        <v>40</v>
      </c>
      <c r="G47" s="9" t="s">
        <v>30</v>
      </c>
      <c r="H47" s="9" t="s">
        <v>309</v>
      </c>
      <c r="I47" s="9" t="s">
        <v>313</v>
      </c>
      <c r="J47" s="9" t="s">
        <v>314</v>
      </c>
      <c r="K47" s="9" t="s">
        <v>312</v>
      </c>
      <c r="L47" s="9" t="s">
        <v>235</v>
      </c>
      <c r="M47" s="9" t="s">
        <v>40</v>
      </c>
      <c r="N47" s="9" t="s">
        <v>230</v>
      </c>
      <c r="O47" s="9" t="s">
        <v>10</v>
      </c>
      <c r="P47" s="9">
        <v>125</v>
      </c>
      <c r="Q47" s="9">
        <v>130</v>
      </c>
      <c r="R47" s="9">
        <v>230</v>
      </c>
      <c r="S47" s="16">
        <f t="shared" si="1"/>
        <v>161.66666666666666</v>
      </c>
    </row>
    <row r="48" spans="2:19" ht="14.25" customHeight="1">
      <c r="B48" s="9" t="s">
        <v>231</v>
      </c>
      <c r="C48" s="9" t="s">
        <v>232</v>
      </c>
      <c r="D48" s="9" t="s">
        <v>233</v>
      </c>
      <c r="E48" s="9" t="s">
        <v>234</v>
      </c>
      <c r="F48" s="9" t="s">
        <v>25</v>
      </c>
      <c r="G48" s="9" t="s">
        <v>252</v>
      </c>
      <c r="H48" s="9" t="s">
        <v>233</v>
      </c>
      <c r="I48" s="9" t="s">
        <v>315</v>
      </c>
      <c r="J48" s="9" t="s">
        <v>316</v>
      </c>
      <c r="K48" s="9" t="s">
        <v>270</v>
      </c>
      <c r="L48" s="9" t="s">
        <v>229</v>
      </c>
      <c r="M48" s="9" t="s">
        <v>25</v>
      </c>
      <c r="N48" s="9" t="s">
        <v>245</v>
      </c>
      <c r="O48" s="9" t="s">
        <v>10</v>
      </c>
      <c r="P48" s="9">
        <v>49</v>
      </c>
      <c r="Q48" s="9">
        <v>72</v>
      </c>
      <c r="R48" s="9">
        <v>110</v>
      </c>
      <c r="S48" s="16">
        <f t="shared" si="1"/>
        <v>77</v>
      </c>
    </row>
    <row r="49" spans="2:19" ht="14.25" customHeight="1">
      <c r="B49" s="9" t="s">
        <v>228</v>
      </c>
      <c r="C49" s="9" t="s">
        <v>227</v>
      </c>
      <c r="D49" s="9" t="s">
        <v>226</v>
      </c>
      <c r="E49" s="9" t="s">
        <v>170</v>
      </c>
      <c r="F49" s="9" t="s">
        <v>41</v>
      </c>
      <c r="G49" s="9" t="s">
        <v>30</v>
      </c>
      <c r="H49" s="9" t="s">
        <v>224</v>
      </c>
      <c r="I49" s="9" t="s">
        <v>317</v>
      </c>
      <c r="J49" s="9" t="s">
        <v>318</v>
      </c>
      <c r="K49" s="9" t="s">
        <v>222</v>
      </c>
      <c r="L49" s="9" t="s">
        <v>229</v>
      </c>
      <c r="M49" s="9" t="s">
        <v>41</v>
      </c>
      <c r="N49" s="9" t="s">
        <v>230</v>
      </c>
      <c r="O49" s="9" t="s">
        <v>10</v>
      </c>
      <c r="P49" s="9">
        <v>119</v>
      </c>
      <c r="Q49" s="9">
        <v>134</v>
      </c>
      <c r="R49" s="9">
        <v>201</v>
      </c>
      <c r="S49" s="16">
        <f t="shared" si="1"/>
        <v>151.33333333333334</v>
      </c>
    </row>
    <row r="50" spans="2:19" ht="14.25" customHeight="1">
      <c r="B50" s="9" t="s">
        <v>228</v>
      </c>
      <c r="C50" s="9" t="s">
        <v>227</v>
      </c>
      <c r="D50" s="9" t="s">
        <v>226</v>
      </c>
      <c r="E50" s="9" t="s">
        <v>170</v>
      </c>
      <c r="F50" s="9" t="s">
        <v>190</v>
      </c>
      <c r="G50" s="9" t="s">
        <v>30</v>
      </c>
      <c r="H50" s="9" t="s">
        <v>248</v>
      </c>
      <c r="I50" s="9" t="s">
        <v>319</v>
      </c>
      <c r="J50" s="9" t="s">
        <v>320</v>
      </c>
      <c r="K50" s="9" t="s">
        <v>251</v>
      </c>
      <c r="L50" s="9" t="s">
        <v>235</v>
      </c>
      <c r="M50" s="9" t="s">
        <v>190</v>
      </c>
      <c r="N50" s="9" t="s">
        <v>230</v>
      </c>
      <c r="O50" s="9" t="s">
        <v>10</v>
      </c>
      <c r="P50" s="9">
        <v>130</v>
      </c>
      <c r="Q50" s="9">
        <v>145</v>
      </c>
      <c r="R50" s="9">
        <v>250</v>
      </c>
      <c r="S50" s="16">
        <f t="shared" si="1"/>
        <v>175</v>
      </c>
    </row>
    <row r="51" spans="2:19" ht="14.25" customHeight="1">
      <c r="B51" s="9" t="s">
        <v>228</v>
      </c>
      <c r="C51" s="9" t="s">
        <v>227</v>
      </c>
      <c r="D51" s="9" t="s">
        <v>226</v>
      </c>
      <c r="E51" s="9" t="s">
        <v>170</v>
      </c>
      <c r="F51" s="9" t="s">
        <v>34</v>
      </c>
      <c r="G51" s="9" t="s">
        <v>30</v>
      </c>
      <c r="H51" s="9" t="s">
        <v>226</v>
      </c>
      <c r="I51" s="9" t="s">
        <v>247</v>
      </c>
      <c r="J51" s="9" t="s">
        <v>246</v>
      </c>
      <c r="K51" s="9" t="s">
        <v>228</v>
      </c>
      <c r="L51" s="9" t="s">
        <v>229</v>
      </c>
      <c r="M51" s="9" t="s">
        <v>34</v>
      </c>
      <c r="N51" s="9" t="s">
        <v>245</v>
      </c>
      <c r="O51" s="9" t="s">
        <v>10</v>
      </c>
      <c r="P51" s="9">
        <v>91</v>
      </c>
      <c r="Q51" s="9">
        <v>103</v>
      </c>
      <c r="R51" s="9">
        <v>176</v>
      </c>
      <c r="S51" s="16">
        <f t="shared" si="1"/>
        <v>123.33333333333333</v>
      </c>
    </row>
    <row r="52" spans="2:19" ht="14.25" customHeight="1">
      <c r="B52" s="9" t="s">
        <v>231</v>
      </c>
      <c r="C52" s="9" t="s">
        <v>232</v>
      </c>
      <c r="D52" s="9" t="s">
        <v>233</v>
      </c>
      <c r="E52" s="9" t="s">
        <v>234</v>
      </c>
      <c r="F52" s="9" t="s">
        <v>178</v>
      </c>
      <c r="G52" s="9" t="s">
        <v>9</v>
      </c>
      <c r="H52" s="9" t="s">
        <v>226</v>
      </c>
      <c r="I52" s="9" t="s">
        <v>247</v>
      </c>
      <c r="J52" s="9" t="s">
        <v>246</v>
      </c>
      <c r="K52" s="9" t="s">
        <v>228</v>
      </c>
      <c r="L52" s="9" t="s">
        <v>235</v>
      </c>
      <c r="M52" s="9" t="s">
        <v>178</v>
      </c>
      <c r="N52" s="9" t="s">
        <v>230</v>
      </c>
      <c r="O52" s="9" t="s">
        <v>10</v>
      </c>
      <c r="P52" s="9">
        <v>79</v>
      </c>
      <c r="Q52" s="9">
        <v>109</v>
      </c>
      <c r="R52" s="9">
        <v>174</v>
      </c>
      <c r="S52" s="16">
        <f t="shared" si="1"/>
        <v>120.66666666666667</v>
      </c>
    </row>
    <row r="53" spans="2:19" ht="14.25" customHeight="1">
      <c r="B53" s="9" t="s">
        <v>228</v>
      </c>
      <c r="C53" s="9" t="s">
        <v>227</v>
      </c>
      <c r="D53" s="9" t="s">
        <v>226</v>
      </c>
      <c r="E53" s="9" t="s">
        <v>170</v>
      </c>
      <c r="F53" s="9" t="s">
        <v>193</v>
      </c>
      <c r="G53" s="9" t="s">
        <v>30</v>
      </c>
      <c r="H53" s="9" t="s">
        <v>224</v>
      </c>
      <c r="I53" s="9" t="s">
        <v>241</v>
      </c>
      <c r="J53" s="9" t="s">
        <v>321</v>
      </c>
      <c r="K53" s="9" t="s">
        <v>222</v>
      </c>
      <c r="L53" s="9" t="s">
        <v>242</v>
      </c>
      <c r="M53" s="9" t="s">
        <v>193</v>
      </c>
      <c r="N53" s="9" t="s">
        <v>230</v>
      </c>
      <c r="O53" s="9" t="s">
        <v>10</v>
      </c>
      <c r="P53" s="9">
        <v>155</v>
      </c>
      <c r="Q53" s="9">
        <v>170</v>
      </c>
      <c r="R53" s="9">
        <v>250</v>
      </c>
      <c r="S53" s="16">
        <f t="shared" si="1"/>
        <v>191.66666666666666</v>
      </c>
    </row>
    <row r="54" spans="2:19" ht="14.25" customHeight="1">
      <c r="B54" s="9" t="s">
        <v>228</v>
      </c>
      <c r="C54" s="9" t="s">
        <v>227</v>
      </c>
      <c r="D54" s="9" t="s">
        <v>226</v>
      </c>
      <c r="E54" s="9" t="s">
        <v>170</v>
      </c>
      <c r="F54" s="9" t="s">
        <v>193</v>
      </c>
      <c r="G54" s="9" t="s">
        <v>30</v>
      </c>
      <c r="H54" s="9" t="s">
        <v>224</v>
      </c>
      <c r="I54" s="9" t="s">
        <v>241</v>
      </c>
      <c r="J54" s="9" t="s">
        <v>321</v>
      </c>
      <c r="K54" s="9" t="s">
        <v>222</v>
      </c>
      <c r="L54" s="9" t="s">
        <v>229</v>
      </c>
      <c r="M54" s="9" t="s">
        <v>193</v>
      </c>
      <c r="N54" s="9" t="s">
        <v>230</v>
      </c>
      <c r="O54" s="9" t="s">
        <v>10</v>
      </c>
      <c r="P54" s="9">
        <v>152</v>
      </c>
      <c r="Q54" s="9">
        <v>166</v>
      </c>
      <c r="R54" s="9">
        <v>241</v>
      </c>
      <c r="S54" s="16">
        <f t="shared" si="1"/>
        <v>186.33333333333334</v>
      </c>
    </row>
    <row r="55" spans="2:19" ht="14.25" customHeight="1">
      <c r="B55" s="9" t="s">
        <v>231</v>
      </c>
      <c r="C55" s="9" t="s">
        <v>232</v>
      </c>
      <c r="D55" s="9" t="s">
        <v>233</v>
      </c>
      <c r="E55" s="9" t="s">
        <v>234</v>
      </c>
      <c r="F55" s="9" t="s">
        <v>27</v>
      </c>
      <c r="G55" s="9" t="s">
        <v>252</v>
      </c>
      <c r="H55" s="9" t="s">
        <v>277</v>
      </c>
      <c r="I55" s="9" t="s">
        <v>278</v>
      </c>
      <c r="J55" s="9" t="s">
        <v>276</v>
      </c>
      <c r="K55" s="9" t="s">
        <v>276</v>
      </c>
      <c r="L55" s="9" t="s">
        <v>229</v>
      </c>
      <c r="M55" s="9" t="s">
        <v>27</v>
      </c>
      <c r="N55" s="9" t="s">
        <v>230</v>
      </c>
      <c r="O55" s="9" t="s">
        <v>10</v>
      </c>
      <c r="P55" s="9">
        <v>65</v>
      </c>
      <c r="Q55" s="9">
        <v>95</v>
      </c>
      <c r="R55" s="9">
        <v>181</v>
      </c>
      <c r="S55" s="16">
        <f t="shared" si="1"/>
        <v>113.66666666666667</v>
      </c>
    </row>
    <row r="56" spans="2:19" ht="14.25" customHeight="1">
      <c r="B56" s="9" t="s">
        <v>228</v>
      </c>
      <c r="C56" s="9" t="s">
        <v>227</v>
      </c>
      <c r="D56" s="9" t="s">
        <v>226</v>
      </c>
      <c r="E56" s="9" t="s">
        <v>170</v>
      </c>
      <c r="F56" s="9" t="s">
        <v>45</v>
      </c>
      <c r="G56" s="9" t="s">
        <v>30</v>
      </c>
      <c r="H56" s="9" t="s">
        <v>226</v>
      </c>
      <c r="I56" s="9" t="s">
        <v>322</v>
      </c>
      <c r="J56" s="9" t="s">
        <v>323</v>
      </c>
      <c r="K56" s="9" t="s">
        <v>228</v>
      </c>
      <c r="L56" s="9" t="s">
        <v>229</v>
      </c>
      <c r="M56" s="9" t="s">
        <v>45</v>
      </c>
      <c r="N56" s="9" t="s">
        <v>245</v>
      </c>
      <c r="O56" s="9" t="s">
        <v>10</v>
      </c>
      <c r="P56" s="9">
        <v>77</v>
      </c>
      <c r="Q56" s="9">
        <v>86</v>
      </c>
      <c r="R56" s="9">
        <v>135</v>
      </c>
      <c r="S56" s="16">
        <f t="shared" si="1"/>
        <v>99.333333333333329</v>
      </c>
    </row>
    <row r="57" spans="2:19" ht="14.25" customHeight="1">
      <c r="B57" s="9" t="s">
        <v>231</v>
      </c>
      <c r="C57" s="9" t="s">
        <v>232</v>
      </c>
      <c r="D57" s="9" t="s">
        <v>233</v>
      </c>
      <c r="E57" s="9" t="s">
        <v>234</v>
      </c>
      <c r="F57" s="9" t="s">
        <v>28</v>
      </c>
      <c r="G57" s="9" t="s">
        <v>9</v>
      </c>
      <c r="H57" s="9" t="s">
        <v>292</v>
      </c>
      <c r="I57" s="9" t="s">
        <v>293</v>
      </c>
      <c r="J57" s="9" t="s">
        <v>291</v>
      </c>
      <c r="K57" s="9" t="s">
        <v>324</v>
      </c>
      <c r="L57" s="9" t="s">
        <v>235</v>
      </c>
      <c r="M57" s="9" t="s">
        <v>28</v>
      </c>
      <c r="N57" s="9" t="s">
        <v>230</v>
      </c>
      <c r="O57" s="9" t="s">
        <v>10</v>
      </c>
      <c r="P57" s="9">
        <v>139</v>
      </c>
      <c r="Q57" s="9">
        <v>199</v>
      </c>
      <c r="R57" s="9">
        <v>460</v>
      </c>
      <c r="S57" s="16">
        <f t="shared" si="1"/>
        <v>266</v>
      </c>
    </row>
    <row r="58" spans="2:19" ht="14.25" customHeight="1">
      <c r="B58" s="9" t="s">
        <v>231</v>
      </c>
      <c r="C58" s="9" t="s">
        <v>232</v>
      </c>
      <c r="D58" s="9" t="s">
        <v>233</v>
      </c>
      <c r="E58" s="9" t="s">
        <v>234</v>
      </c>
      <c r="F58" s="9" t="s">
        <v>202</v>
      </c>
      <c r="G58" s="9" t="s">
        <v>9</v>
      </c>
      <c r="H58" s="9" t="s">
        <v>296</v>
      </c>
      <c r="I58" s="9" t="s">
        <v>297</v>
      </c>
      <c r="J58" s="9" t="s">
        <v>295</v>
      </c>
      <c r="K58" s="9" t="s">
        <v>294</v>
      </c>
      <c r="L58" s="9" t="s">
        <v>235</v>
      </c>
      <c r="M58" s="9" t="s">
        <v>202</v>
      </c>
      <c r="N58" s="9" t="s">
        <v>230</v>
      </c>
      <c r="O58" s="9" t="s">
        <v>10</v>
      </c>
      <c r="P58" s="9">
        <v>400</v>
      </c>
      <c r="Q58" s="9">
        <v>750</v>
      </c>
      <c r="R58" s="9">
        <v>1100</v>
      </c>
      <c r="S58" s="16">
        <f t="shared" si="1"/>
        <v>750</v>
      </c>
    </row>
    <row r="59" spans="2:19" ht="14.25" customHeight="1">
      <c r="B59" s="9" t="s">
        <v>228</v>
      </c>
      <c r="C59" s="9" t="s">
        <v>227</v>
      </c>
      <c r="D59" s="9" t="s">
        <v>226</v>
      </c>
      <c r="E59" s="9" t="s">
        <v>170</v>
      </c>
      <c r="F59" s="9" t="s">
        <v>44</v>
      </c>
      <c r="G59" s="9" t="s">
        <v>30</v>
      </c>
      <c r="H59" s="9" t="s">
        <v>226</v>
      </c>
      <c r="I59" s="9" t="s">
        <v>325</v>
      </c>
      <c r="J59" s="9" t="s">
        <v>326</v>
      </c>
      <c r="K59" s="9" t="s">
        <v>228</v>
      </c>
      <c r="L59" s="9" t="s">
        <v>229</v>
      </c>
      <c r="M59" s="9" t="s">
        <v>44</v>
      </c>
      <c r="N59" s="9" t="s">
        <v>245</v>
      </c>
      <c r="O59" s="9" t="s">
        <v>10</v>
      </c>
      <c r="P59" s="9">
        <v>80</v>
      </c>
      <c r="Q59" s="9">
        <v>86</v>
      </c>
      <c r="R59" s="9">
        <v>149</v>
      </c>
      <c r="S59" s="16">
        <f t="shared" si="1"/>
        <v>105</v>
      </c>
    </row>
    <row r="60" spans="2:19" ht="14.25" customHeight="1">
      <c r="B60" s="9" t="s">
        <v>228</v>
      </c>
      <c r="C60" s="9" t="s">
        <v>246</v>
      </c>
      <c r="D60" s="9" t="s">
        <v>226</v>
      </c>
      <c r="E60" s="9" t="s">
        <v>247</v>
      </c>
      <c r="F60" s="9" t="s">
        <v>56</v>
      </c>
      <c r="G60" s="9" t="s">
        <v>30</v>
      </c>
      <c r="H60" s="9" t="s">
        <v>226</v>
      </c>
      <c r="I60" s="9" t="s">
        <v>327</v>
      </c>
      <c r="J60" s="9" t="s">
        <v>328</v>
      </c>
      <c r="K60" s="9" t="s">
        <v>228</v>
      </c>
      <c r="L60" s="9" t="s">
        <v>229</v>
      </c>
      <c r="M60" s="9" t="s">
        <v>56</v>
      </c>
      <c r="N60" s="9" t="s">
        <v>245</v>
      </c>
      <c r="O60" s="9" t="s">
        <v>10</v>
      </c>
      <c r="P60" s="9">
        <v>92</v>
      </c>
      <c r="Q60" s="9">
        <v>102</v>
      </c>
      <c r="R60" s="9">
        <v>179</v>
      </c>
      <c r="S60" s="16">
        <f t="shared" si="1"/>
        <v>124.33333333333333</v>
      </c>
    </row>
    <row r="61" spans="2:19" ht="14.25" customHeight="1">
      <c r="B61" s="9" t="s">
        <v>228</v>
      </c>
      <c r="C61" s="9" t="s">
        <v>227</v>
      </c>
      <c r="D61" s="9" t="s">
        <v>226</v>
      </c>
      <c r="E61" s="9" t="s">
        <v>170</v>
      </c>
      <c r="F61" s="9" t="s">
        <v>188</v>
      </c>
      <c r="G61" s="9" t="s">
        <v>30</v>
      </c>
      <c r="H61" s="9" t="s">
        <v>305</v>
      </c>
      <c r="I61" s="9" t="s">
        <v>329</v>
      </c>
      <c r="J61" s="9" t="s">
        <v>330</v>
      </c>
      <c r="K61" s="9" t="s">
        <v>308</v>
      </c>
      <c r="L61" s="9" t="s">
        <v>235</v>
      </c>
      <c r="M61" s="9" t="s">
        <v>188</v>
      </c>
      <c r="N61" s="9" t="s">
        <v>230</v>
      </c>
      <c r="O61" s="9" t="s">
        <v>10</v>
      </c>
      <c r="P61" s="9">
        <v>110</v>
      </c>
      <c r="Q61" s="9">
        <v>110</v>
      </c>
      <c r="R61" s="9">
        <v>165</v>
      </c>
      <c r="S61" s="16">
        <f t="shared" si="1"/>
        <v>128.33333333333334</v>
      </c>
    </row>
    <row r="62" spans="2:19" s="18" customFormat="1" ht="14.25" customHeight="1">
      <c r="B62" s="9" t="s">
        <v>228</v>
      </c>
      <c r="C62" s="9" t="s">
        <v>227</v>
      </c>
      <c r="D62" s="9" t="s">
        <v>226</v>
      </c>
      <c r="E62" s="9" t="s">
        <v>170</v>
      </c>
      <c r="F62" s="9" t="s">
        <v>43</v>
      </c>
      <c r="G62" s="9" t="s">
        <v>30</v>
      </c>
      <c r="H62" s="9" t="s">
        <v>309</v>
      </c>
      <c r="I62" s="9" t="s">
        <v>331</v>
      </c>
      <c r="J62" s="9" t="s">
        <v>332</v>
      </c>
      <c r="K62" s="9" t="s">
        <v>312</v>
      </c>
      <c r="L62" s="9" t="s">
        <v>235</v>
      </c>
      <c r="M62" s="9" t="s">
        <v>43</v>
      </c>
      <c r="N62" s="9" t="s">
        <v>230</v>
      </c>
      <c r="O62" s="9" t="s">
        <v>10</v>
      </c>
      <c r="P62" s="9">
        <v>115</v>
      </c>
      <c r="Q62" s="9">
        <v>130</v>
      </c>
      <c r="R62" s="9">
        <v>200</v>
      </c>
      <c r="S62" s="16">
        <f t="shared" si="1"/>
        <v>148.33333333333334</v>
      </c>
    </row>
  </sheetData>
  <autoFilter ref="B6:R62" xr:uid="{8A8D7979-C913-481B-8F40-1FEC14BE5292}">
    <sortState xmlns:xlrd2="http://schemas.microsoft.com/office/spreadsheetml/2017/richdata2" ref="B7:R62">
      <sortCondition ref="J6:J62"/>
    </sortState>
  </autoFilter>
  <sortState xmlns:xlrd2="http://schemas.microsoft.com/office/spreadsheetml/2017/richdata2" ref="B7:S62">
    <sortCondition ref="M7:M62"/>
  </sortState>
  <mergeCells count="12">
    <mergeCell ref="M4:M5"/>
    <mergeCell ref="S4:S5"/>
    <mergeCell ref="N4:N5"/>
    <mergeCell ref="B4:B5"/>
    <mergeCell ref="C4:C5"/>
    <mergeCell ref="E4:E5"/>
    <mergeCell ref="G4:G5"/>
    <mergeCell ref="I4:I5"/>
    <mergeCell ref="L4:L5"/>
    <mergeCell ref="J4:J5"/>
    <mergeCell ref="K4:K5"/>
    <mergeCell ref="F4:F5"/>
  </mergeCells>
  <pageMargins left="0.7" right="0.7" top="0.75" bottom="0.75" header="0.3" footer="0.3"/>
  <headerFooter>
    <oddFooter>&amp;L_x000D_&amp;1#&amp;"Calibri"&amp;6&amp;K737373 BUSINESS DOCUMENT  This document is intended for business use and should be distributed to intended recipients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A842-F2C5-4667-BF10-F7784C9FC349}">
  <sheetPr>
    <tabColor theme="1" tint="0.499984740745262"/>
  </sheetPr>
  <dimension ref="B3:E115"/>
  <sheetViews>
    <sheetView showGridLines="0" workbookViewId="0">
      <selection activeCell="R19" sqref="R19:T19"/>
    </sheetView>
  </sheetViews>
  <sheetFormatPr defaultRowHeight="14.45"/>
  <cols>
    <col min="2" max="2" width="62.85546875" bestFit="1" customWidth="1"/>
    <col min="5" max="5" width="66.140625" bestFit="1" customWidth="1"/>
  </cols>
  <sheetData>
    <row r="3" spans="2:2">
      <c r="B3" t="s">
        <v>333</v>
      </c>
    </row>
    <row r="4" spans="2:2">
      <c r="B4" t="s">
        <v>334</v>
      </c>
    </row>
    <row r="5" spans="2:2">
      <c r="B5" t="s">
        <v>335</v>
      </c>
    </row>
    <row r="6" spans="2:2">
      <c r="B6" t="s">
        <v>336</v>
      </c>
    </row>
    <row r="7" spans="2:2">
      <c r="B7" t="s">
        <v>337</v>
      </c>
    </row>
    <row r="8" spans="2:2">
      <c r="B8" t="s">
        <v>338</v>
      </c>
    </row>
    <row r="9" spans="2:2">
      <c r="B9" t="s">
        <v>336</v>
      </c>
    </row>
    <row r="12" spans="2:2">
      <c r="B12" t="s">
        <v>339</v>
      </c>
    </row>
    <row r="13" spans="2:2">
      <c r="B13" t="s">
        <v>340</v>
      </c>
    </row>
    <row r="14" spans="2:2">
      <c r="B14" t="s">
        <v>341</v>
      </c>
    </row>
    <row r="15" spans="2:2">
      <c r="B15" t="s">
        <v>342</v>
      </c>
    </row>
    <row r="16" spans="2:2">
      <c r="B16" t="s">
        <v>343</v>
      </c>
    </row>
    <row r="17" spans="2:5">
      <c r="B17" t="s">
        <v>341</v>
      </c>
    </row>
    <row r="18" spans="2:5">
      <c r="B18" t="s">
        <v>342</v>
      </c>
    </row>
    <row r="19" spans="2:5">
      <c r="B19" t="s">
        <v>344</v>
      </c>
    </row>
    <row r="20" spans="2:5">
      <c r="B20" t="s">
        <v>345</v>
      </c>
    </row>
    <row r="21" spans="2:5">
      <c r="B21" t="s">
        <v>342</v>
      </c>
    </row>
    <row r="24" spans="2:5">
      <c r="B24" t="s">
        <v>346</v>
      </c>
      <c r="E24" t="s">
        <v>346</v>
      </c>
    </row>
    <row r="25" spans="2:5">
      <c r="B25" s="39" t="s">
        <v>347</v>
      </c>
      <c r="E25" t="s">
        <v>348</v>
      </c>
    </row>
    <row r="26" spans="2:5">
      <c r="B26" s="39" t="s">
        <v>349</v>
      </c>
      <c r="E26" t="s">
        <v>350</v>
      </c>
    </row>
    <row r="27" spans="2:5">
      <c r="B27" t="s">
        <v>351</v>
      </c>
      <c r="E27" t="s">
        <v>352</v>
      </c>
    </row>
    <row r="28" spans="2:5">
      <c r="B28" t="s">
        <v>353</v>
      </c>
      <c r="E28" t="s">
        <v>354</v>
      </c>
    </row>
    <row r="29" spans="2:5">
      <c r="B29" t="s">
        <v>355</v>
      </c>
      <c r="E29" t="s">
        <v>356</v>
      </c>
    </row>
    <row r="30" spans="2:5">
      <c r="B30" t="s">
        <v>357</v>
      </c>
      <c r="E30" t="s">
        <v>358</v>
      </c>
    </row>
    <row r="31" spans="2:5">
      <c r="B31" t="s">
        <v>359</v>
      </c>
      <c r="E31" t="s">
        <v>360</v>
      </c>
    </row>
    <row r="32" spans="2:5">
      <c r="B32" t="s">
        <v>361</v>
      </c>
      <c r="E32" t="s">
        <v>362</v>
      </c>
    </row>
    <row r="33" spans="2:5">
      <c r="B33" t="s">
        <v>356</v>
      </c>
      <c r="E33" t="s">
        <v>356</v>
      </c>
    </row>
    <row r="34" spans="2:5">
      <c r="B34" t="s">
        <v>363</v>
      </c>
      <c r="E34" t="s">
        <v>364</v>
      </c>
    </row>
    <row r="35" spans="2:5">
      <c r="B35" t="s">
        <v>365</v>
      </c>
      <c r="E35" t="s">
        <v>365</v>
      </c>
    </row>
    <row r="36" spans="2:5">
      <c r="B36" t="s">
        <v>351</v>
      </c>
      <c r="E36" t="s">
        <v>351</v>
      </c>
    </row>
    <row r="37" spans="2:5">
      <c r="B37" t="s">
        <v>366</v>
      </c>
      <c r="E37" s="38" t="s">
        <v>367</v>
      </c>
    </row>
    <row r="38" spans="2:5">
      <c r="B38" t="s">
        <v>368</v>
      </c>
      <c r="E38" s="23" t="s">
        <v>369</v>
      </c>
    </row>
    <row r="39" spans="2:5">
      <c r="B39" t="s">
        <v>370</v>
      </c>
      <c r="E39" s="38" t="s">
        <v>370</v>
      </c>
    </row>
    <row r="40" spans="2:5">
      <c r="B40" t="s">
        <v>371</v>
      </c>
    </row>
    <row r="41" spans="2:5">
      <c r="B41" t="s">
        <v>372</v>
      </c>
    </row>
    <row r="42" spans="2:5">
      <c r="B42" t="s">
        <v>350</v>
      </c>
    </row>
    <row r="43" spans="2:5">
      <c r="B43" t="s">
        <v>373</v>
      </c>
    </row>
    <row r="44" spans="2:5">
      <c r="B44" t="s">
        <v>365</v>
      </c>
    </row>
    <row r="45" spans="2:5">
      <c r="B45" t="s">
        <v>351</v>
      </c>
    </row>
    <row r="46" spans="2:5">
      <c r="B46" t="s">
        <v>374</v>
      </c>
    </row>
    <row r="47" spans="2:5">
      <c r="B47" t="s">
        <v>368</v>
      </c>
    </row>
    <row r="48" spans="2:5">
      <c r="B48" t="s">
        <v>370</v>
      </c>
    </row>
    <row r="49" spans="2:2">
      <c r="B49" t="s">
        <v>375</v>
      </c>
    </row>
    <row r="50" spans="2:2">
      <c r="B50" t="s">
        <v>372</v>
      </c>
    </row>
    <row r="51" spans="2:2">
      <c r="B51" t="s">
        <v>350</v>
      </c>
    </row>
    <row r="54" spans="2:2">
      <c r="B54" t="s">
        <v>376</v>
      </c>
    </row>
    <row r="55" spans="2:2">
      <c r="B55" t="s">
        <v>377</v>
      </c>
    </row>
    <row r="56" spans="2:2">
      <c r="B56" t="s">
        <v>378</v>
      </c>
    </row>
    <row r="57" spans="2:2">
      <c r="B57" t="s">
        <v>379</v>
      </c>
    </row>
    <row r="60" spans="2:2">
      <c r="B60" t="s">
        <v>380</v>
      </c>
    </row>
    <row r="61" spans="2:2">
      <c r="B61" t="s">
        <v>340</v>
      </c>
    </row>
    <row r="62" spans="2:2">
      <c r="B62" t="s">
        <v>381</v>
      </c>
    </row>
    <row r="63" spans="2:2">
      <c r="B63" t="s">
        <v>342</v>
      </c>
    </row>
    <row r="64" spans="2:2">
      <c r="B64" t="s">
        <v>343</v>
      </c>
    </row>
    <row r="65" spans="2:2">
      <c r="B65" t="s">
        <v>382</v>
      </c>
    </row>
    <row r="66" spans="2:2">
      <c r="B66" t="s">
        <v>342</v>
      </c>
    </row>
    <row r="67" spans="2:2">
      <c r="B67" t="s">
        <v>344</v>
      </c>
    </row>
    <row r="68" spans="2:2">
      <c r="B68" t="s">
        <v>383</v>
      </c>
    </row>
    <row r="69" spans="2:2">
      <c r="B69" t="s">
        <v>342</v>
      </c>
    </row>
    <row r="71" spans="2:2">
      <c r="B71" t="s">
        <v>384</v>
      </c>
    </row>
    <row r="72" spans="2:2">
      <c r="B72" s="39" t="s">
        <v>385</v>
      </c>
    </row>
    <row r="73" spans="2:2">
      <c r="B73" s="39" t="s">
        <v>386</v>
      </c>
    </row>
    <row r="74" spans="2:2">
      <c r="B74" s="39" t="s">
        <v>387</v>
      </c>
    </row>
    <row r="75" spans="2:2">
      <c r="B75" s="39" t="s">
        <v>388</v>
      </c>
    </row>
    <row r="76" spans="2:2">
      <c r="B76" s="39" t="s">
        <v>389</v>
      </c>
    </row>
    <row r="77" spans="2:2">
      <c r="B77" t="s">
        <v>390</v>
      </c>
    </row>
    <row r="78" spans="2:2">
      <c r="B78" t="s">
        <v>391</v>
      </c>
    </row>
    <row r="79" spans="2:2">
      <c r="B79" t="s">
        <v>389</v>
      </c>
    </row>
    <row r="80" spans="2:2">
      <c r="B80" t="s">
        <v>390</v>
      </c>
    </row>
    <row r="81" spans="2:2">
      <c r="B81" t="s">
        <v>392</v>
      </c>
    </row>
    <row r="82" spans="2:2">
      <c r="B82" t="s">
        <v>393</v>
      </c>
    </row>
    <row r="83" spans="2:2">
      <c r="B83" t="s">
        <v>394</v>
      </c>
    </row>
    <row r="84" spans="2:2">
      <c r="B84" t="s">
        <v>395</v>
      </c>
    </row>
    <row r="85" spans="2:2">
      <c r="B85" t="s">
        <v>396</v>
      </c>
    </row>
    <row r="86" spans="2:2">
      <c r="B86" t="s">
        <v>397</v>
      </c>
    </row>
    <row r="87" spans="2:2">
      <c r="B87" t="s">
        <v>398</v>
      </c>
    </row>
    <row r="88" spans="2:2">
      <c r="B88" t="s">
        <v>399</v>
      </c>
    </row>
    <row r="89" spans="2:2">
      <c r="B89" t="s">
        <v>394</v>
      </c>
    </row>
    <row r="90" spans="2:2">
      <c r="B90" t="s">
        <v>400</v>
      </c>
    </row>
    <row r="91" spans="2:2">
      <c r="B91" t="s">
        <v>401</v>
      </c>
    </row>
    <row r="92" spans="2:2">
      <c r="B92" t="s">
        <v>402</v>
      </c>
    </row>
    <row r="93" spans="2:2">
      <c r="B93" t="s">
        <v>403</v>
      </c>
    </row>
    <row r="94" spans="2:2">
      <c r="B94" t="s">
        <v>404</v>
      </c>
    </row>
    <row r="95" spans="2:2">
      <c r="B95" t="s">
        <v>397</v>
      </c>
    </row>
    <row r="96" spans="2:2">
      <c r="B96" t="s">
        <v>405</v>
      </c>
    </row>
    <row r="97" spans="2:5">
      <c r="B97" t="s">
        <v>406</v>
      </c>
    </row>
    <row r="98" spans="2:5">
      <c r="B98" t="s">
        <v>397</v>
      </c>
    </row>
    <row r="100" spans="2:5">
      <c r="B100" t="s">
        <v>407</v>
      </c>
      <c r="D100" t="s">
        <v>408</v>
      </c>
    </row>
    <row r="101" spans="2:5">
      <c r="B101" t="s">
        <v>409</v>
      </c>
      <c r="D101" t="s">
        <v>410</v>
      </c>
    </row>
    <row r="102" spans="2:5">
      <c r="B102" t="s">
        <v>411</v>
      </c>
      <c r="D102" t="s">
        <v>412</v>
      </c>
    </row>
    <row r="103" spans="2:5">
      <c r="B103" t="s">
        <v>336</v>
      </c>
      <c r="D103" t="s">
        <v>413</v>
      </c>
    </row>
    <row r="104" spans="2:5">
      <c r="D104" t="s">
        <v>414</v>
      </c>
    </row>
    <row r="105" spans="2:5">
      <c r="D105" t="s">
        <v>415</v>
      </c>
    </row>
    <row r="106" spans="2:5">
      <c r="D106" t="s">
        <v>416</v>
      </c>
    </row>
    <row r="107" spans="2:5">
      <c r="D107" t="s">
        <v>417</v>
      </c>
    </row>
    <row r="108" spans="2:5">
      <c r="D108" t="s">
        <v>418</v>
      </c>
    </row>
    <row r="109" spans="2:5">
      <c r="D109" t="s">
        <v>419</v>
      </c>
    </row>
    <row r="110" spans="2:5">
      <c r="D110" t="s">
        <v>420</v>
      </c>
    </row>
    <row r="111" spans="2:5">
      <c r="D111" t="s">
        <v>421</v>
      </c>
    </row>
    <row r="112" spans="2:5">
      <c r="D112" s="38" t="s">
        <v>422</v>
      </c>
      <c r="E112" s="38"/>
    </row>
    <row r="113" spans="4:5">
      <c r="D113" s="38" t="s">
        <v>418</v>
      </c>
      <c r="E113" s="23"/>
    </row>
    <row r="114" spans="4:5">
      <c r="D114" s="38" t="s">
        <v>413</v>
      </c>
      <c r="E114" s="38"/>
    </row>
    <row r="115" spans="4:5">
      <c r="D115" t="s">
        <v>423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955-E4A0-4726-B0B7-0200AC03FE8E}">
  <sheetPr>
    <tabColor theme="1" tint="0.34998626667073579"/>
  </sheetPr>
  <dimension ref="B1:W65"/>
  <sheetViews>
    <sheetView showGridLines="0" topLeftCell="A14" workbookViewId="0">
      <selection activeCell="R19" sqref="R19:T19"/>
    </sheetView>
  </sheetViews>
  <sheetFormatPr defaultRowHeight="14.45"/>
  <cols>
    <col min="17" max="23" width="15.5703125" customWidth="1"/>
  </cols>
  <sheetData>
    <row r="1" spans="17:23">
      <c r="Q1" s="24"/>
    </row>
    <row r="2" spans="17:23">
      <c r="Q2" s="109" t="s">
        <v>424</v>
      </c>
      <c r="R2" s="110"/>
      <c r="S2" s="110"/>
      <c r="T2" s="110"/>
      <c r="U2" s="110"/>
      <c r="V2" s="110"/>
      <c r="W2" s="111"/>
    </row>
    <row r="3" spans="17:23" ht="15" thickBot="1">
      <c r="Q3" s="112" t="s">
        <v>425</v>
      </c>
      <c r="R3" s="113"/>
      <c r="S3" s="113"/>
      <c r="T3" s="113"/>
      <c r="U3" s="113"/>
      <c r="V3" s="113"/>
      <c r="W3" s="114"/>
    </row>
    <row r="4" spans="17:23" ht="15" thickBot="1">
      <c r="Q4" s="115" t="s">
        <v>426</v>
      </c>
      <c r="R4" s="95" t="s">
        <v>427</v>
      </c>
      <c r="S4" s="95"/>
      <c r="T4" s="95"/>
      <c r="U4" s="95" t="s">
        <v>428</v>
      </c>
      <c r="V4" s="95"/>
      <c r="W4" s="118"/>
    </row>
    <row r="5" spans="17:23">
      <c r="Q5" s="116"/>
      <c r="R5" s="76" t="s">
        <v>429</v>
      </c>
      <c r="S5" s="76" t="s">
        <v>430</v>
      </c>
      <c r="T5" s="25" t="s">
        <v>431</v>
      </c>
      <c r="U5" s="76" t="s">
        <v>429</v>
      </c>
      <c r="V5" s="76" t="s">
        <v>430</v>
      </c>
      <c r="W5" s="35" t="s">
        <v>431</v>
      </c>
    </row>
    <row r="6" spans="17:23" ht="15" thickBot="1">
      <c r="Q6" s="116"/>
      <c r="R6" s="77"/>
      <c r="S6" s="77"/>
      <c r="T6" s="27" t="s">
        <v>432</v>
      </c>
      <c r="U6" s="77"/>
      <c r="V6" s="77"/>
      <c r="W6" s="36" t="s">
        <v>432</v>
      </c>
    </row>
    <row r="7" spans="17:23" ht="15" thickBot="1">
      <c r="Q7" s="116"/>
      <c r="R7" s="29">
        <v>94</v>
      </c>
      <c r="S7" s="29">
        <v>71</v>
      </c>
      <c r="T7" s="29">
        <v>24</v>
      </c>
      <c r="U7" s="29">
        <v>88</v>
      </c>
      <c r="V7" s="29">
        <v>66</v>
      </c>
      <c r="W7" s="37">
        <v>22</v>
      </c>
    </row>
    <row r="8" spans="17:23" ht="15" thickBot="1">
      <c r="Q8" s="116"/>
      <c r="R8" s="95" t="s">
        <v>433</v>
      </c>
      <c r="S8" s="95"/>
      <c r="T8" s="95"/>
      <c r="U8" s="95"/>
      <c r="V8" s="95"/>
      <c r="W8" s="118"/>
    </row>
    <row r="9" spans="17:23">
      <c r="Q9" s="116"/>
      <c r="R9" s="97" t="s">
        <v>434</v>
      </c>
      <c r="S9" s="97"/>
      <c r="T9" s="97"/>
      <c r="U9" s="97" t="s">
        <v>435</v>
      </c>
      <c r="V9" s="97"/>
      <c r="W9" s="119"/>
    </row>
    <row r="10" spans="17:23">
      <c r="Q10" s="116"/>
      <c r="R10" s="84" t="s">
        <v>436</v>
      </c>
      <c r="S10" s="84"/>
      <c r="T10" s="84"/>
      <c r="U10" s="84" t="s">
        <v>437</v>
      </c>
      <c r="V10" s="84"/>
      <c r="W10" s="99"/>
    </row>
    <row r="11" spans="17:23">
      <c r="Q11" s="116"/>
      <c r="R11" s="84" t="s">
        <v>438</v>
      </c>
      <c r="S11" s="84"/>
      <c r="T11" s="84"/>
      <c r="U11" s="84" t="s">
        <v>439</v>
      </c>
      <c r="V11" s="84"/>
      <c r="W11" s="99"/>
    </row>
    <row r="12" spans="17:23">
      <c r="Q12" s="116"/>
      <c r="R12" s="84" t="s">
        <v>440</v>
      </c>
      <c r="S12" s="84"/>
      <c r="T12" s="84"/>
      <c r="U12" s="84" t="s">
        <v>441</v>
      </c>
      <c r="V12" s="84"/>
      <c r="W12" s="99"/>
    </row>
    <row r="13" spans="17:23">
      <c r="Q13" s="116"/>
      <c r="R13" s="84" t="s">
        <v>442</v>
      </c>
      <c r="S13" s="84"/>
      <c r="T13" s="84"/>
      <c r="U13" s="84" t="s">
        <v>443</v>
      </c>
      <c r="V13" s="84"/>
      <c r="W13" s="99"/>
    </row>
    <row r="14" spans="17:23">
      <c r="Q14" s="116"/>
      <c r="R14" s="84" t="s">
        <v>444</v>
      </c>
      <c r="S14" s="84"/>
      <c r="T14" s="84"/>
      <c r="U14" s="84" t="s">
        <v>445</v>
      </c>
      <c r="V14" s="84"/>
      <c r="W14" s="99"/>
    </row>
    <row r="15" spans="17:23">
      <c r="Q15" s="116"/>
      <c r="R15" s="84" t="s">
        <v>446</v>
      </c>
      <c r="S15" s="84"/>
      <c r="T15" s="84"/>
      <c r="U15" s="84" t="s">
        <v>447</v>
      </c>
      <c r="V15" s="84"/>
      <c r="W15" s="99"/>
    </row>
    <row r="16" spans="17:23">
      <c r="Q16" s="116"/>
      <c r="R16" s="84" t="s">
        <v>448</v>
      </c>
      <c r="S16" s="84"/>
      <c r="T16" s="84"/>
      <c r="U16" s="84" t="s">
        <v>449</v>
      </c>
      <c r="V16" s="84"/>
      <c r="W16" s="99"/>
    </row>
    <row r="17" spans="17:23">
      <c r="Q17" s="116"/>
      <c r="R17" s="84" t="s">
        <v>450</v>
      </c>
      <c r="S17" s="84"/>
      <c r="T17" s="84"/>
      <c r="U17" s="84"/>
      <c r="V17" s="84"/>
      <c r="W17" s="99"/>
    </row>
    <row r="18" spans="17:23">
      <c r="Q18" s="116"/>
      <c r="R18" s="84" t="s">
        <v>451</v>
      </c>
      <c r="S18" s="84"/>
      <c r="T18" s="84"/>
      <c r="U18" s="84"/>
      <c r="V18" s="84"/>
      <c r="W18" s="99"/>
    </row>
    <row r="19" spans="17:23">
      <c r="Q19" s="116"/>
      <c r="R19" s="84" t="s">
        <v>452</v>
      </c>
      <c r="S19" s="84"/>
      <c r="T19" s="84"/>
      <c r="U19" s="84"/>
      <c r="V19" s="84"/>
      <c r="W19" s="99"/>
    </row>
    <row r="20" spans="17:23">
      <c r="Q20" s="116"/>
      <c r="R20" s="84" t="s">
        <v>453</v>
      </c>
      <c r="S20" s="84"/>
      <c r="T20" s="84"/>
      <c r="U20" s="84"/>
      <c r="V20" s="84"/>
      <c r="W20" s="99"/>
    </row>
    <row r="21" spans="17:23">
      <c r="Q21" s="116"/>
      <c r="R21" s="84" t="s">
        <v>454</v>
      </c>
      <c r="S21" s="84"/>
      <c r="T21" s="84"/>
      <c r="U21" s="84"/>
      <c r="V21" s="84"/>
      <c r="W21" s="99"/>
    </row>
    <row r="22" spans="17:23">
      <c r="Q22" s="116"/>
      <c r="R22" s="84" t="s">
        <v>455</v>
      </c>
      <c r="S22" s="84"/>
      <c r="T22" s="84"/>
      <c r="U22" s="84"/>
      <c r="V22" s="84"/>
      <c r="W22" s="99"/>
    </row>
    <row r="23" spans="17:23">
      <c r="Q23" s="116"/>
      <c r="R23" s="84" t="s">
        <v>456</v>
      </c>
      <c r="S23" s="84"/>
      <c r="T23" s="84"/>
      <c r="U23" s="84"/>
      <c r="V23" s="84"/>
      <c r="W23" s="99"/>
    </row>
    <row r="24" spans="17:23">
      <c r="Q24" s="116"/>
      <c r="R24" s="84" t="s">
        <v>457</v>
      </c>
      <c r="S24" s="84"/>
      <c r="T24" s="84"/>
      <c r="U24" s="84"/>
      <c r="V24" s="84"/>
      <c r="W24" s="99"/>
    </row>
    <row r="25" spans="17:23">
      <c r="Q25" s="117"/>
      <c r="R25" s="100" t="s">
        <v>458</v>
      </c>
      <c r="S25" s="100"/>
      <c r="T25" s="100"/>
      <c r="U25" s="101"/>
      <c r="V25" s="101"/>
      <c r="W25" s="102"/>
    </row>
    <row r="26" spans="17:23">
      <c r="Q26" s="24" t="s">
        <v>459</v>
      </c>
    </row>
    <row r="27" spans="17:23">
      <c r="Q27" s="24" t="s">
        <v>460</v>
      </c>
    </row>
    <row r="28" spans="17:23">
      <c r="Q28" s="24" t="s">
        <v>461</v>
      </c>
    </row>
    <row r="29" spans="17:23">
      <c r="Q29" s="24" t="s">
        <v>462</v>
      </c>
    </row>
    <row r="30" spans="17:23">
      <c r="Q30" s="24"/>
    </row>
    <row r="31" spans="17:23">
      <c r="Q31" s="103" t="s">
        <v>462</v>
      </c>
      <c r="R31" s="104"/>
      <c r="S31" s="104"/>
      <c r="T31" s="104"/>
      <c r="U31" s="104"/>
      <c r="V31" s="104"/>
      <c r="W31" s="105"/>
    </row>
    <row r="32" spans="17:23" ht="15" thickBot="1">
      <c r="Q32" s="106" t="s">
        <v>425</v>
      </c>
      <c r="R32" s="107"/>
      <c r="S32" s="107"/>
      <c r="T32" s="107"/>
      <c r="U32" s="107"/>
      <c r="V32" s="107"/>
      <c r="W32" s="108"/>
    </row>
    <row r="33" spans="2:23" ht="15" thickBot="1">
      <c r="Q33" s="92" t="s">
        <v>426</v>
      </c>
      <c r="R33" s="95" t="s">
        <v>463</v>
      </c>
      <c r="S33" s="95"/>
      <c r="T33" s="95"/>
      <c r="U33" s="95" t="s">
        <v>428</v>
      </c>
      <c r="V33" s="95"/>
      <c r="W33" s="96"/>
    </row>
    <row r="34" spans="2:23">
      <c r="Q34" s="93"/>
      <c r="R34" s="76" t="s">
        <v>429</v>
      </c>
      <c r="S34" s="76" t="s">
        <v>430</v>
      </c>
      <c r="T34" s="25" t="s">
        <v>431</v>
      </c>
      <c r="U34" s="76" t="s">
        <v>429</v>
      </c>
      <c r="V34" s="76" t="s">
        <v>430</v>
      </c>
      <c r="W34" s="26" t="s">
        <v>431</v>
      </c>
    </row>
    <row r="35" spans="2:23" ht="15" thickBot="1">
      <c r="Q35" s="93"/>
      <c r="R35" s="77"/>
      <c r="S35" s="77"/>
      <c r="T35" s="27" t="s">
        <v>432</v>
      </c>
      <c r="U35" s="77"/>
      <c r="V35" s="77"/>
      <c r="W35" s="28" t="s">
        <v>432</v>
      </c>
    </row>
    <row r="36" spans="2:23" ht="15" thickBot="1">
      <c r="Q36" s="93"/>
      <c r="R36" s="27">
        <v>120</v>
      </c>
      <c r="S36" s="29">
        <v>90</v>
      </c>
      <c r="T36" s="29">
        <v>30</v>
      </c>
      <c r="U36" s="27">
        <v>110</v>
      </c>
      <c r="V36" s="29">
        <v>83</v>
      </c>
      <c r="W36" s="30">
        <v>28</v>
      </c>
    </row>
    <row r="37" spans="2:23" ht="15" thickBot="1">
      <c r="Q37" s="93"/>
      <c r="R37" s="95" t="s">
        <v>464</v>
      </c>
      <c r="S37" s="95"/>
      <c r="T37" s="95"/>
      <c r="U37" s="95"/>
      <c r="V37" s="95"/>
      <c r="W37" s="96"/>
    </row>
    <row r="38" spans="2:23">
      <c r="Q38" s="93"/>
      <c r="R38" s="97" t="s">
        <v>465</v>
      </c>
      <c r="S38" s="97"/>
      <c r="T38" s="97"/>
      <c r="U38" s="97" t="s">
        <v>466</v>
      </c>
      <c r="V38" s="97"/>
      <c r="W38" s="98"/>
    </row>
    <row r="39" spans="2:23">
      <c r="Q39" s="93"/>
      <c r="R39" s="84" t="s">
        <v>467</v>
      </c>
      <c r="S39" s="84"/>
      <c r="T39" s="84"/>
      <c r="U39" s="84" t="s">
        <v>468</v>
      </c>
      <c r="V39" s="84"/>
      <c r="W39" s="85"/>
    </row>
    <row r="40" spans="2:23">
      <c r="Q40" s="93"/>
      <c r="R40" s="84" t="s">
        <v>469</v>
      </c>
      <c r="S40" s="84"/>
      <c r="T40" s="84"/>
      <c r="U40" s="84" t="s">
        <v>470</v>
      </c>
      <c r="V40" s="84"/>
      <c r="W40" s="85"/>
    </row>
    <row r="41" spans="2:23">
      <c r="Q41" s="93"/>
      <c r="R41" s="84" t="s">
        <v>471</v>
      </c>
      <c r="S41" s="84"/>
      <c r="T41" s="84"/>
      <c r="U41" s="84" t="s">
        <v>472</v>
      </c>
      <c r="V41" s="84"/>
      <c r="W41" s="85"/>
    </row>
    <row r="42" spans="2:23" ht="15.95">
      <c r="B42" s="31" t="s">
        <v>473</v>
      </c>
      <c r="C42" s="32"/>
      <c r="D42" s="32"/>
      <c r="Q42" s="93"/>
      <c r="R42" s="84" t="s">
        <v>474</v>
      </c>
      <c r="S42" s="84"/>
      <c r="T42" s="84"/>
      <c r="U42" s="84" t="s">
        <v>475</v>
      </c>
      <c r="V42" s="84"/>
      <c r="W42" s="85"/>
    </row>
    <row r="43" spans="2:23" ht="15.95">
      <c r="B43" s="33" t="s">
        <v>476</v>
      </c>
      <c r="C43" s="32"/>
      <c r="D43" s="32"/>
      <c r="Q43" s="93"/>
      <c r="R43" s="84" t="s">
        <v>477</v>
      </c>
      <c r="S43" s="84"/>
      <c r="T43" s="84"/>
      <c r="U43" s="84" t="s">
        <v>478</v>
      </c>
      <c r="V43" s="84"/>
      <c r="W43" s="85"/>
    </row>
    <row r="44" spans="2:23" ht="15.95">
      <c r="B44" s="33" t="s">
        <v>479</v>
      </c>
      <c r="C44" s="32"/>
      <c r="D44" s="32"/>
      <c r="Q44" s="93"/>
      <c r="R44" s="84" t="s">
        <v>480</v>
      </c>
      <c r="S44" s="84"/>
      <c r="T44" s="84"/>
      <c r="U44" s="84" t="s">
        <v>481</v>
      </c>
      <c r="V44" s="84"/>
      <c r="W44" s="85"/>
    </row>
    <row r="45" spans="2:23" ht="15.95">
      <c r="B45" s="33" t="s">
        <v>482</v>
      </c>
      <c r="C45" s="32"/>
      <c r="D45" s="32"/>
      <c r="Q45" s="93"/>
      <c r="R45" s="84" t="s">
        <v>483</v>
      </c>
      <c r="S45" s="84"/>
      <c r="T45" s="84"/>
      <c r="U45" s="84" t="s">
        <v>484</v>
      </c>
      <c r="V45" s="84"/>
      <c r="W45" s="85"/>
    </row>
    <row r="46" spans="2:23">
      <c r="B46" s="32" t="s">
        <v>485</v>
      </c>
      <c r="C46" s="32"/>
      <c r="D46" s="32"/>
      <c r="Q46" s="93"/>
      <c r="R46" s="84" t="s">
        <v>486</v>
      </c>
      <c r="S46" s="84"/>
      <c r="T46" s="84"/>
      <c r="U46" s="84" t="s">
        <v>487</v>
      </c>
      <c r="V46" s="84"/>
      <c r="W46" s="85"/>
    </row>
    <row r="47" spans="2:23">
      <c r="B47" s="32" t="s">
        <v>488</v>
      </c>
      <c r="C47" s="32"/>
      <c r="D47" s="32"/>
      <c r="Q47" s="93"/>
      <c r="R47" s="84" t="s">
        <v>489</v>
      </c>
      <c r="S47" s="84"/>
      <c r="T47" s="84"/>
      <c r="U47" s="84" t="s">
        <v>490</v>
      </c>
      <c r="V47" s="84"/>
      <c r="W47" s="85"/>
    </row>
    <row r="48" spans="2:23">
      <c r="B48" s="34" t="s">
        <v>491</v>
      </c>
      <c r="C48" s="32"/>
      <c r="D48" s="32"/>
      <c r="Q48" s="93"/>
      <c r="R48" s="84" t="s">
        <v>492</v>
      </c>
      <c r="S48" s="84"/>
      <c r="T48" s="84"/>
      <c r="U48" s="84" t="s">
        <v>493</v>
      </c>
      <c r="V48" s="84"/>
      <c r="W48" s="85"/>
    </row>
    <row r="49" spans="2:23">
      <c r="B49" s="34" t="s">
        <v>494</v>
      </c>
      <c r="C49" s="32"/>
      <c r="D49" s="32"/>
      <c r="Q49" s="93"/>
      <c r="R49" s="84" t="s">
        <v>495</v>
      </c>
      <c r="S49" s="84"/>
      <c r="T49" s="84"/>
      <c r="U49" s="84"/>
      <c r="V49" s="84"/>
      <c r="W49" s="85"/>
    </row>
    <row r="50" spans="2:23">
      <c r="B50" s="32"/>
      <c r="C50" s="32"/>
      <c r="D50" s="32"/>
      <c r="Q50" s="93"/>
      <c r="R50" s="84" t="s">
        <v>496</v>
      </c>
      <c r="S50" s="84"/>
      <c r="T50" s="84"/>
      <c r="U50" s="84"/>
      <c r="V50" s="84"/>
      <c r="W50" s="85"/>
    </row>
    <row r="51" spans="2:23">
      <c r="B51" s="34" t="s">
        <v>497</v>
      </c>
      <c r="C51" s="32"/>
      <c r="D51" s="32"/>
      <c r="Q51" s="93"/>
      <c r="R51" s="84" t="s">
        <v>498</v>
      </c>
      <c r="S51" s="84"/>
      <c r="T51" s="84"/>
      <c r="U51" s="84"/>
      <c r="V51" s="84"/>
      <c r="W51" s="85"/>
    </row>
    <row r="52" spans="2:23" ht="15" thickBot="1">
      <c r="B52" s="34" t="s">
        <v>499</v>
      </c>
      <c r="C52" s="32"/>
      <c r="D52" s="32"/>
      <c r="Q52" s="94"/>
      <c r="R52" s="86" t="s">
        <v>500</v>
      </c>
      <c r="S52" s="86"/>
      <c r="T52" s="86"/>
      <c r="U52" s="86"/>
      <c r="V52" s="86"/>
      <c r="W52" s="87"/>
    </row>
    <row r="53" spans="2:23" ht="15" thickBot="1">
      <c r="B53" s="32" t="s">
        <v>501</v>
      </c>
      <c r="C53" s="32"/>
      <c r="D53" s="32"/>
      <c r="Q53" s="88" t="s">
        <v>502</v>
      </c>
      <c r="R53" s="90" t="s">
        <v>463</v>
      </c>
      <c r="S53" s="90"/>
      <c r="T53" s="90"/>
      <c r="U53" s="90" t="s">
        <v>428</v>
      </c>
      <c r="V53" s="90"/>
      <c r="W53" s="91"/>
    </row>
    <row r="54" spans="2:23">
      <c r="B54" s="32" t="s">
        <v>503</v>
      </c>
      <c r="C54" s="32"/>
      <c r="D54" s="32"/>
      <c r="Q54" s="89"/>
      <c r="R54" s="76" t="s">
        <v>429</v>
      </c>
      <c r="S54" s="76" t="s">
        <v>430</v>
      </c>
      <c r="T54" s="25" t="s">
        <v>431</v>
      </c>
      <c r="U54" s="76" t="s">
        <v>429</v>
      </c>
      <c r="V54" s="76" t="s">
        <v>430</v>
      </c>
      <c r="W54" s="26" t="s">
        <v>431</v>
      </c>
    </row>
    <row r="55" spans="2:23" ht="15" thickBot="1">
      <c r="B55" s="32" t="s">
        <v>504</v>
      </c>
      <c r="C55" s="32"/>
      <c r="D55" s="32"/>
      <c r="Q55" s="89"/>
      <c r="R55" s="77"/>
      <c r="S55" s="77"/>
      <c r="T55" s="27" t="s">
        <v>432</v>
      </c>
      <c r="U55" s="77"/>
      <c r="V55" s="77"/>
      <c r="W55" s="28" t="s">
        <v>432</v>
      </c>
    </row>
    <row r="56" spans="2:23" ht="15" thickBot="1">
      <c r="B56" s="32"/>
      <c r="C56" s="32"/>
      <c r="D56" s="32"/>
      <c r="Q56" s="89"/>
      <c r="R56" s="29">
        <v>200</v>
      </c>
      <c r="S56" s="29">
        <v>150</v>
      </c>
      <c r="T56" s="29">
        <v>50</v>
      </c>
      <c r="U56" s="29">
        <v>180</v>
      </c>
      <c r="V56" s="29">
        <v>135</v>
      </c>
      <c r="W56" s="30">
        <v>45</v>
      </c>
    </row>
    <row r="57" spans="2:23" ht="15" thickBot="1">
      <c r="B57" s="34" t="s">
        <v>505</v>
      </c>
      <c r="C57" s="32"/>
      <c r="D57" s="32"/>
      <c r="Q57" s="89"/>
      <c r="R57" s="78" t="s">
        <v>464</v>
      </c>
      <c r="S57" s="78"/>
      <c r="T57" s="78"/>
      <c r="U57" s="78"/>
      <c r="V57" s="78"/>
      <c r="W57" s="79"/>
    </row>
    <row r="58" spans="2:23">
      <c r="B58" s="32" t="s">
        <v>506</v>
      </c>
      <c r="C58" s="32"/>
      <c r="D58" s="32"/>
      <c r="Q58" s="89"/>
      <c r="R58" s="80" t="s">
        <v>507</v>
      </c>
      <c r="S58" s="80"/>
      <c r="T58" s="80"/>
      <c r="U58" s="80" t="s">
        <v>508</v>
      </c>
      <c r="V58" s="80"/>
      <c r="W58" s="81"/>
    </row>
    <row r="59" spans="2:23">
      <c r="B59" s="32" t="s">
        <v>509</v>
      </c>
      <c r="C59" s="32"/>
      <c r="D59" s="32"/>
      <c r="Q59" s="89"/>
      <c r="R59" s="82" t="s">
        <v>510</v>
      </c>
      <c r="S59" s="82"/>
      <c r="T59" s="82"/>
      <c r="U59" s="82" t="s">
        <v>511</v>
      </c>
      <c r="V59" s="82"/>
      <c r="W59" s="83"/>
    </row>
    <row r="60" spans="2:23">
      <c r="B60" s="32"/>
      <c r="C60" s="32"/>
      <c r="D60" s="32"/>
      <c r="Q60" s="89"/>
      <c r="R60" s="82" t="s">
        <v>512</v>
      </c>
      <c r="S60" s="82"/>
      <c r="T60" s="82"/>
      <c r="U60" s="82" t="s">
        <v>513</v>
      </c>
      <c r="V60" s="82"/>
      <c r="W60" s="83"/>
    </row>
    <row r="61" spans="2:23">
      <c r="Q61" s="89"/>
      <c r="R61" s="82"/>
      <c r="S61" s="82"/>
      <c r="T61" s="82"/>
      <c r="U61" s="82" t="s">
        <v>514</v>
      </c>
      <c r="V61" s="82"/>
      <c r="W61" s="83"/>
    </row>
    <row r="62" spans="2:23" ht="15" thickBot="1">
      <c r="Q62" s="89"/>
      <c r="R62" s="74"/>
      <c r="S62" s="74"/>
      <c r="T62" s="74"/>
      <c r="U62" s="74" t="s">
        <v>515</v>
      </c>
      <c r="V62" s="74"/>
      <c r="W62" s="75"/>
    </row>
    <row r="63" spans="2:23">
      <c r="Q63" s="24" t="s">
        <v>459</v>
      </c>
    </row>
    <row r="64" spans="2:23">
      <c r="Q64" s="24" t="s">
        <v>516</v>
      </c>
    </row>
    <row r="65" ht="15" customHeight="1"/>
  </sheetData>
  <mergeCells count="102">
    <mergeCell ref="R10:T10"/>
    <mergeCell ref="U10:W10"/>
    <mergeCell ref="R11:T11"/>
    <mergeCell ref="U11:W11"/>
    <mergeCell ref="R18:T18"/>
    <mergeCell ref="U18:W18"/>
    <mergeCell ref="R15:T15"/>
    <mergeCell ref="U15:W15"/>
    <mergeCell ref="R16:T16"/>
    <mergeCell ref="U16:W16"/>
    <mergeCell ref="R17:T17"/>
    <mergeCell ref="U17:W17"/>
    <mergeCell ref="Q2:W2"/>
    <mergeCell ref="Q3:W3"/>
    <mergeCell ref="Q4:Q25"/>
    <mergeCell ref="R4:T4"/>
    <mergeCell ref="U4:W4"/>
    <mergeCell ref="R5:R6"/>
    <mergeCell ref="S5:S6"/>
    <mergeCell ref="U5:U6"/>
    <mergeCell ref="V5:V6"/>
    <mergeCell ref="R8:W8"/>
    <mergeCell ref="R12:T12"/>
    <mergeCell ref="U12:W12"/>
    <mergeCell ref="R13:T13"/>
    <mergeCell ref="U13:W13"/>
    <mergeCell ref="R14:T14"/>
    <mergeCell ref="U14:W14"/>
    <mergeCell ref="R9:T9"/>
    <mergeCell ref="U9:W9"/>
    <mergeCell ref="R21:T21"/>
    <mergeCell ref="U21:W21"/>
    <mergeCell ref="R22:T22"/>
    <mergeCell ref="U22:W22"/>
    <mergeCell ref="R23:T23"/>
    <mergeCell ref="U23:W23"/>
    <mergeCell ref="R19:T19"/>
    <mergeCell ref="U19:W19"/>
    <mergeCell ref="R20:T20"/>
    <mergeCell ref="U20:W20"/>
    <mergeCell ref="R39:T39"/>
    <mergeCell ref="U39:W39"/>
    <mergeCell ref="R40:T40"/>
    <mergeCell ref="U40:W40"/>
    <mergeCell ref="R41:T41"/>
    <mergeCell ref="U41:W41"/>
    <mergeCell ref="R24:T24"/>
    <mergeCell ref="U24:W24"/>
    <mergeCell ref="R25:T25"/>
    <mergeCell ref="U25:W25"/>
    <mergeCell ref="Q31:W31"/>
    <mergeCell ref="Q32:W32"/>
    <mergeCell ref="R50:T50"/>
    <mergeCell ref="U50:W50"/>
    <mergeCell ref="R45:T45"/>
    <mergeCell ref="U45:W45"/>
    <mergeCell ref="R46:T46"/>
    <mergeCell ref="U46:W46"/>
    <mergeCell ref="R47:T47"/>
    <mergeCell ref="U47:W47"/>
    <mergeCell ref="R42:T42"/>
    <mergeCell ref="U42:W42"/>
    <mergeCell ref="R43:T43"/>
    <mergeCell ref="U43:W43"/>
    <mergeCell ref="R44:T44"/>
    <mergeCell ref="U44:W44"/>
    <mergeCell ref="Q53:Q62"/>
    <mergeCell ref="R53:T53"/>
    <mergeCell ref="U53:W53"/>
    <mergeCell ref="R54:R55"/>
    <mergeCell ref="S54:S55"/>
    <mergeCell ref="U54:U55"/>
    <mergeCell ref="Q33:Q52"/>
    <mergeCell ref="R33:T33"/>
    <mergeCell ref="U33:W33"/>
    <mergeCell ref="R34:R35"/>
    <mergeCell ref="S34:S35"/>
    <mergeCell ref="U34:U35"/>
    <mergeCell ref="V34:V35"/>
    <mergeCell ref="R37:W37"/>
    <mergeCell ref="R38:T38"/>
    <mergeCell ref="U38:W38"/>
    <mergeCell ref="R60:T60"/>
    <mergeCell ref="U60:W60"/>
    <mergeCell ref="R61:T61"/>
    <mergeCell ref="U61:W61"/>
    <mergeCell ref="R48:T48"/>
    <mergeCell ref="U48:W48"/>
    <mergeCell ref="R49:T49"/>
    <mergeCell ref="U49:W49"/>
    <mergeCell ref="R62:T62"/>
    <mergeCell ref="U62:W62"/>
    <mergeCell ref="V54:V55"/>
    <mergeCell ref="R57:W57"/>
    <mergeCell ref="R58:T58"/>
    <mergeCell ref="U58:W58"/>
    <mergeCell ref="R59:T59"/>
    <mergeCell ref="U59:W59"/>
    <mergeCell ref="R51:T51"/>
    <mergeCell ref="U51:W51"/>
    <mergeCell ref="R52:T52"/>
    <mergeCell ref="U52:W5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0BE9-4913-40C0-9B0B-F5B9BC4F589C}">
  <sheetPr>
    <tabColor theme="1" tint="0.499984740745262"/>
  </sheetPr>
  <dimension ref="B22:L79"/>
  <sheetViews>
    <sheetView showGridLines="0" topLeftCell="A40" workbookViewId="0">
      <selection activeCell="K56" sqref="K56"/>
    </sheetView>
  </sheetViews>
  <sheetFormatPr defaultRowHeight="14.45"/>
  <cols>
    <col min="1" max="1" width="3.140625" customWidth="1"/>
    <col min="2" max="2" width="15.42578125" customWidth="1"/>
  </cols>
  <sheetData>
    <row r="22" spans="2:12">
      <c r="D22" t="s">
        <v>517</v>
      </c>
    </row>
    <row r="23" spans="2:12">
      <c r="D23" t="s">
        <v>518</v>
      </c>
    </row>
    <row r="24" spans="2:12">
      <c r="D24" t="s">
        <v>519</v>
      </c>
    </row>
    <row r="25" spans="2:12">
      <c r="D25" t="s">
        <v>520</v>
      </c>
    </row>
    <row r="30" spans="2:12" ht="29.25" customHeight="1">
      <c r="B30" s="123" t="s">
        <v>521</v>
      </c>
      <c r="C30" s="123" t="s">
        <v>522</v>
      </c>
      <c r="D30" s="123"/>
      <c r="E30" s="123"/>
      <c r="F30" s="123"/>
      <c r="G30" s="123"/>
      <c r="H30" s="123"/>
      <c r="I30" s="123"/>
      <c r="J30" s="123"/>
      <c r="K30" s="123"/>
      <c r="L30" s="123"/>
    </row>
    <row r="31" spans="2:12">
      <c r="B31" s="123"/>
      <c r="C31" s="123" t="s">
        <v>523</v>
      </c>
      <c r="D31" s="123"/>
      <c r="E31" s="123" t="s">
        <v>524</v>
      </c>
      <c r="F31" s="123"/>
      <c r="G31" s="123"/>
      <c r="H31" s="123"/>
      <c r="I31" s="123"/>
      <c r="J31" s="123"/>
      <c r="K31" s="123"/>
      <c r="L31" s="123"/>
    </row>
    <row r="32" spans="2:12" ht="29.1">
      <c r="B32" s="46" t="s">
        <v>525</v>
      </c>
      <c r="C32" s="47" t="s">
        <v>526</v>
      </c>
      <c r="D32" s="47" t="s">
        <v>527</v>
      </c>
      <c r="E32" s="47" t="s">
        <v>528</v>
      </c>
      <c r="F32" s="47" t="s">
        <v>529</v>
      </c>
      <c r="G32" s="47" t="s">
        <v>530</v>
      </c>
      <c r="H32" s="47" t="s">
        <v>531</v>
      </c>
      <c r="I32" s="47" t="s">
        <v>532</v>
      </c>
      <c r="J32" s="47" t="s">
        <v>533</v>
      </c>
      <c r="K32" s="47" t="s">
        <v>534</v>
      </c>
      <c r="L32" s="47" t="s">
        <v>535</v>
      </c>
    </row>
    <row r="33" spans="2:12">
      <c r="B33" s="48" t="s">
        <v>536</v>
      </c>
      <c r="C33" s="48"/>
      <c r="D33" s="48"/>
      <c r="E33" s="48"/>
      <c r="F33" s="48"/>
      <c r="G33" s="48" t="s">
        <v>520</v>
      </c>
      <c r="H33" s="48"/>
      <c r="I33" s="48" t="s">
        <v>519</v>
      </c>
      <c r="J33" s="48" t="s">
        <v>537</v>
      </c>
      <c r="K33" s="48" t="s">
        <v>538</v>
      </c>
      <c r="L33" s="49"/>
    </row>
    <row r="34" spans="2:12" ht="15.95">
      <c r="B34" s="50" t="s">
        <v>539</v>
      </c>
      <c r="C34" s="51" t="s">
        <v>540</v>
      </c>
      <c r="D34" s="51" t="s">
        <v>540</v>
      </c>
      <c r="E34" s="52">
        <v>174</v>
      </c>
      <c r="F34" s="52">
        <v>133</v>
      </c>
      <c r="G34" s="52">
        <v>118</v>
      </c>
      <c r="H34" s="52">
        <v>103</v>
      </c>
      <c r="I34" s="52">
        <v>90</v>
      </c>
      <c r="J34" s="52">
        <v>78</v>
      </c>
      <c r="K34" s="52">
        <v>63</v>
      </c>
      <c r="L34" s="52">
        <v>50</v>
      </c>
    </row>
    <row r="35" spans="2:12" ht="15.95">
      <c r="B35" s="50" t="s">
        <v>541</v>
      </c>
      <c r="C35" s="51" t="s">
        <v>540</v>
      </c>
      <c r="D35" s="51" t="s">
        <v>540</v>
      </c>
      <c r="E35" s="52">
        <v>161</v>
      </c>
      <c r="F35" s="52">
        <v>116</v>
      </c>
      <c r="G35" s="52">
        <v>108</v>
      </c>
      <c r="H35" s="52">
        <v>99</v>
      </c>
      <c r="I35" s="52">
        <v>91</v>
      </c>
      <c r="J35" s="52">
        <v>82</v>
      </c>
      <c r="K35" s="52">
        <v>70</v>
      </c>
      <c r="L35" s="52">
        <v>59</v>
      </c>
    </row>
    <row r="36" spans="2:12" ht="15.95">
      <c r="B36" s="50" t="s">
        <v>542</v>
      </c>
      <c r="C36" s="51" t="s">
        <v>540</v>
      </c>
      <c r="D36" s="51" t="s">
        <v>540</v>
      </c>
      <c r="E36" s="52">
        <v>135</v>
      </c>
      <c r="F36" s="52">
        <v>113</v>
      </c>
      <c r="G36" s="52">
        <v>105</v>
      </c>
      <c r="H36" s="52">
        <v>94</v>
      </c>
      <c r="I36" s="52">
        <v>86</v>
      </c>
      <c r="J36" s="52">
        <v>77</v>
      </c>
      <c r="K36" s="52">
        <v>61</v>
      </c>
      <c r="L36" s="52">
        <v>50</v>
      </c>
    </row>
    <row r="37" spans="2:12" ht="15.95">
      <c r="B37" s="50" t="s">
        <v>543</v>
      </c>
      <c r="C37" s="51" t="s">
        <v>540</v>
      </c>
      <c r="D37" s="51" t="s">
        <v>540</v>
      </c>
      <c r="E37" s="52">
        <v>149</v>
      </c>
      <c r="F37" s="52">
        <v>117</v>
      </c>
      <c r="G37" s="52">
        <v>106</v>
      </c>
      <c r="H37" s="52">
        <v>95</v>
      </c>
      <c r="I37" s="52">
        <v>86</v>
      </c>
      <c r="J37" s="52">
        <v>80</v>
      </c>
      <c r="K37" s="52">
        <v>65</v>
      </c>
      <c r="L37" s="52">
        <v>51</v>
      </c>
    </row>
    <row r="38" spans="2:12">
      <c r="B38" s="50" t="s">
        <v>544</v>
      </c>
      <c r="C38" s="52">
        <v>212</v>
      </c>
      <c r="D38" s="52">
        <v>165</v>
      </c>
      <c r="E38" s="52">
        <v>166</v>
      </c>
      <c r="F38" s="52">
        <v>135</v>
      </c>
      <c r="G38" s="52">
        <v>130</v>
      </c>
      <c r="H38" s="52">
        <v>126</v>
      </c>
      <c r="I38" s="52">
        <v>124</v>
      </c>
      <c r="J38" s="52">
        <v>117</v>
      </c>
      <c r="K38" s="52">
        <v>104</v>
      </c>
      <c r="L38" s="52">
        <v>87</v>
      </c>
    </row>
    <row r="39" spans="2:12" ht="15.95">
      <c r="B39" s="50" t="s">
        <v>545</v>
      </c>
      <c r="C39" s="51" t="s">
        <v>540</v>
      </c>
      <c r="D39" s="51" t="s">
        <v>540</v>
      </c>
      <c r="E39" s="52">
        <v>176</v>
      </c>
      <c r="F39" s="52">
        <v>137</v>
      </c>
      <c r="G39" s="52">
        <v>124</v>
      </c>
      <c r="H39" s="52">
        <v>113</v>
      </c>
      <c r="I39" s="52">
        <v>103</v>
      </c>
      <c r="J39" s="52">
        <v>91</v>
      </c>
      <c r="K39" s="52">
        <v>69</v>
      </c>
      <c r="L39" s="52">
        <v>55</v>
      </c>
    </row>
    <row r="40" spans="2:12" ht="15.95">
      <c r="B40" s="50" t="s">
        <v>546</v>
      </c>
      <c r="C40" s="51" t="s">
        <v>540</v>
      </c>
      <c r="D40" s="51" t="s">
        <v>540</v>
      </c>
      <c r="E40" s="52">
        <v>176</v>
      </c>
      <c r="F40" s="52">
        <v>137</v>
      </c>
      <c r="G40" s="52">
        <v>124</v>
      </c>
      <c r="H40" s="52">
        <v>113</v>
      </c>
      <c r="I40" s="52">
        <v>103</v>
      </c>
      <c r="J40" s="52">
        <v>91</v>
      </c>
      <c r="K40" s="52">
        <v>69</v>
      </c>
      <c r="L40" s="52">
        <v>55</v>
      </c>
    </row>
    <row r="41" spans="2:12" ht="15.95">
      <c r="B41" s="50" t="s">
        <v>547</v>
      </c>
      <c r="C41" s="51" t="s">
        <v>540</v>
      </c>
      <c r="D41" s="51" t="s">
        <v>540</v>
      </c>
      <c r="E41" s="52">
        <v>205</v>
      </c>
      <c r="F41" s="52">
        <v>145</v>
      </c>
      <c r="G41" s="52">
        <v>135</v>
      </c>
      <c r="H41" s="52">
        <v>130</v>
      </c>
      <c r="I41" s="52">
        <v>120</v>
      </c>
      <c r="J41" s="52">
        <v>115</v>
      </c>
      <c r="K41" s="52">
        <v>95</v>
      </c>
      <c r="L41" s="52">
        <v>85</v>
      </c>
    </row>
    <row r="42" spans="2:12" ht="15.95">
      <c r="B42" s="50" t="s">
        <v>548</v>
      </c>
      <c r="C42" s="51" t="s">
        <v>540</v>
      </c>
      <c r="D42" s="51" t="s">
        <v>540</v>
      </c>
      <c r="E42" s="52">
        <v>119</v>
      </c>
      <c r="F42" s="52">
        <v>91</v>
      </c>
      <c r="G42" s="52">
        <v>82</v>
      </c>
      <c r="H42" s="52">
        <v>78</v>
      </c>
      <c r="I42" s="52">
        <v>74</v>
      </c>
      <c r="J42" s="52">
        <v>65</v>
      </c>
      <c r="K42" s="52">
        <v>60</v>
      </c>
      <c r="L42" s="52">
        <v>50</v>
      </c>
    </row>
    <row r="43" spans="2:12" ht="15.95">
      <c r="B43" s="50" t="s">
        <v>549</v>
      </c>
      <c r="C43" s="51" t="s">
        <v>540</v>
      </c>
      <c r="D43" s="51" t="s">
        <v>540</v>
      </c>
      <c r="E43" s="52">
        <v>179</v>
      </c>
      <c r="F43" s="52">
        <v>137</v>
      </c>
      <c r="G43" s="52">
        <v>124</v>
      </c>
      <c r="H43" s="52">
        <v>114</v>
      </c>
      <c r="I43" s="52">
        <v>102</v>
      </c>
      <c r="J43" s="52">
        <v>92</v>
      </c>
      <c r="K43" s="52">
        <v>70</v>
      </c>
      <c r="L43" s="52">
        <v>55</v>
      </c>
    </row>
    <row r="44" spans="2:12" ht="15.95">
      <c r="B44" s="50" t="s">
        <v>550</v>
      </c>
      <c r="C44" s="51" t="s">
        <v>540</v>
      </c>
      <c r="D44" s="51" t="s">
        <v>540</v>
      </c>
      <c r="E44" s="52">
        <v>166</v>
      </c>
      <c r="F44" s="52">
        <v>136</v>
      </c>
      <c r="G44" s="52">
        <v>128</v>
      </c>
      <c r="H44" s="52">
        <v>123</v>
      </c>
      <c r="I44" s="52">
        <v>119</v>
      </c>
      <c r="J44" s="52">
        <v>113</v>
      </c>
      <c r="K44" s="52">
        <v>103</v>
      </c>
      <c r="L44" s="52">
        <v>85</v>
      </c>
    </row>
    <row r="45" spans="2:12" ht="15.95">
      <c r="B45" s="50" t="s">
        <v>551</v>
      </c>
      <c r="C45" s="51" t="s">
        <v>540</v>
      </c>
      <c r="D45" s="51" t="s">
        <v>540</v>
      </c>
      <c r="E45" s="52">
        <v>114</v>
      </c>
      <c r="F45" s="52">
        <v>97</v>
      </c>
      <c r="G45" s="52">
        <v>95</v>
      </c>
      <c r="H45" s="52">
        <v>92</v>
      </c>
      <c r="I45" s="52">
        <v>89</v>
      </c>
      <c r="J45" s="52">
        <v>85</v>
      </c>
      <c r="K45" s="52">
        <v>82</v>
      </c>
      <c r="L45" s="52">
        <v>80</v>
      </c>
    </row>
    <row r="46" spans="2:12" ht="15.95">
      <c r="B46" s="50" t="s">
        <v>552</v>
      </c>
      <c r="C46" s="51" t="s">
        <v>540</v>
      </c>
      <c r="D46" s="51" t="s">
        <v>540</v>
      </c>
      <c r="E46" s="52">
        <v>114</v>
      </c>
      <c r="F46" s="52">
        <v>97</v>
      </c>
      <c r="G46" s="52">
        <v>95</v>
      </c>
      <c r="H46" s="52">
        <v>92</v>
      </c>
      <c r="I46" s="52">
        <v>89</v>
      </c>
      <c r="J46" s="52">
        <v>85</v>
      </c>
      <c r="K46" s="52">
        <v>82</v>
      </c>
      <c r="L46" s="52">
        <v>80</v>
      </c>
    </row>
    <row r="47" spans="2:12" ht="15.95">
      <c r="B47" s="50" t="s">
        <v>553</v>
      </c>
      <c r="C47" s="51" t="s">
        <v>540</v>
      </c>
      <c r="D47" s="51" t="s">
        <v>540</v>
      </c>
      <c r="E47" s="52">
        <v>267</v>
      </c>
      <c r="F47" s="52">
        <v>230</v>
      </c>
      <c r="G47" s="52">
        <v>209</v>
      </c>
      <c r="H47" s="52">
        <v>200</v>
      </c>
      <c r="I47" s="52">
        <v>192</v>
      </c>
      <c r="J47" s="52">
        <v>183</v>
      </c>
      <c r="K47" s="52">
        <v>160</v>
      </c>
      <c r="L47" s="52">
        <v>120</v>
      </c>
    </row>
    <row r="48" spans="2:12" ht="15.95">
      <c r="B48" s="50" t="s">
        <v>554</v>
      </c>
      <c r="C48" s="51" t="s">
        <v>540</v>
      </c>
      <c r="D48" s="51" t="s">
        <v>540</v>
      </c>
      <c r="E48" s="52">
        <v>255</v>
      </c>
      <c r="F48" s="52">
        <v>210</v>
      </c>
      <c r="G48" s="52">
        <v>200</v>
      </c>
      <c r="H48" s="52">
        <v>183</v>
      </c>
      <c r="I48" s="52">
        <v>165</v>
      </c>
      <c r="J48" s="52">
        <v>151</v>
      </c>
      <c r="K48" s="52">
        <v>116</v>
      </c>
      <c r="L48" s="52">
        <v>85</v>
      </c>
    </row>
    <row r="49" spans="2:12" ht="15.95">
      <c r="B49" s="50" t="s">
        <v>555</v>
      </c>
      <c r="C49" s="51" t="s">
        <v>540</v>
      </c>
      <c r="D49" s="51" t="s">
        <v>540</v>
      </c>
      <c r="E49" s="52">
        <v>255</v>
      </c>
      <c r="F49" s="52">
        <v>210</v>
      </c>
      <c r="G49" s="52">
        <v>200</v>
      </c>
      <c r="H49" s="52">
        <v>183</v>
      </c>
      <c r="I49" s="52">
        <v>165</v>
      </c>
      <c r="J49" s="52">
        <v>151</v>
      </c>
      <c r="K49" s="52">
        <v>116</v>
      </c>
      <c r="L49" s="52">
        <v>85</v>
      </c>
    </row>
    <row r="50" spans="2:12" ht="29.1">
      <c r="B50" s="46" t="s">
        <v>556</v>
      </c>
      <c r="C50" s="47" t="s">
        <v>557</v>
      </c>
      <c r="D50" s="47" t="s">
        <v>558</v>
      </c>
      <c r="E50" s="47" t="s">
        <v>559</v>
      </c>
      <c r="F50" s="47" t="s">
        <v>66</v>
      </c>
      <c r="G50" s="47" t="s">
        <v>560</v>
      </c>
      <c r="H50" s="47" t="s">
        <v>12</v>
      </c>
      <c r="I50" s="47" t="s">
        <v>538</v>
      </c>
      <c r="J50" s="47" t="s">
        <v>561</v>
      </c>
      <c r="K50" s="47" t="s">
        <v>517</v>
      </c>
      <c r="L50" s="47" t="s">
        <v>31</v>
      </c>
    </row>
    <row r="51" spans="2:12">
      <c r="B51" s="46" t="s">
        <v>536</v>
      </c>
      <c r="C51" s="53"/>
      <c r="D51" s="53"/>
      <c r="E51" s="53"/>
      <c r="F51" s="53"/>
      <c r="G51" s="48" t="s">
        <v>520</v>
      </c>
      <c r="H51" s="48"/>
      <c r="I51" s="48" t="s">
        <v>519</v>
      </c>
      <c r="J51" s="48" t="s">
        <v>537</v>
      </c>
      <c r="K51" s="48" t="s">
        <v>538</v>
      </c>
      <c r="L51" s="53"/>
    </row>
    <row r="52" spans="2:12" ht="15.95">
      <c r="B52" s="50" t="s">
        <v>562</v>
      </c>
      <c r="C52" s="51" t="s">
        <v>540</v>
      </c>
      <c r="D52" s="51" t="s">
        <v>540</v>
      </c>
      <c r="E52" s="52">
        <v>247</v>
      </c>
      <c r="F52" s="52">
        <v>215</v>
      </c>
      <c r="G52" s="52">
        <v>187</v>
      </c>
      <c r="H52" s="52">
        <v>170</v>
      </c>
      <c r="I52" s="52">
        <v>150</v>
      </c>
      <c r="J52" s="52">
        <v>140</v>
      </c>
      <c r="K52" s="52">
        <v>113</v>
      </c>
      <c r="L52" s="52">
        <v>98</v>
      </c>
    </row>
    <row r="53" spans="2:12">
      <c r="B53" s="50" t="s">
        <v>563</v>
      </c>
      <c r="C53" s="52">
        <v>256</v>
      </c>
      <c r="D53" s="52">
        <v>229</v>
      </c>
      <c r="E53" s="52">
        <v>201</v>
      </c>
      <c r="F53" s="52">
        <v>173</v>
      </c>
      <c r="G53" s="52">
        <v>156</v>
      </c>
      <c r="H53" s="52">
        <v>142</v>
      </c>
      <c r="I53" s="52">
        <v>134</v>
      </c>
      <c r="J53" s="52">
        <v>119</v>
      </c>
      <c r="K53" s="52">
        <v>95</v>
      </c>
      <c r="L53" s="52">
        <v>85</v>
      </c>
    </row>
    <row r="54" spans="2:12" ht="15.95">
      <c r="B54" s="50" t="s">
        <v>564</v>
      </c>
      <c r="C54" s="51" t="s">
        <v>540</v>
      </c>
      <c r="D54" s="51" t="s">
        <v>540</v>
      </c>
      <c r="E54" s="52">
        <v>241</v>
      </c>
      <c r="F54" s="52">
        <v>218</v>
      </c>
      <c r="G54" s="52">
        <v>187</v>
      </c>
      <c r="H54" s="52">
        <v>175</v>
      </c>
      <c r="I54" s="52">
        <v>166</v>
      </c>
      <c r="J54" s="52">
        <v>152</v>
      </c>
      <c r="K54" s="52">
        <v>120</v>
      </c>
      <c r="L54" s="52">
        <v>85</v>
      </c>
    </row>
    <row r="55" spans="2:12">
      <c r="B55" s="50" t="s">
        <v>565</v>
      </c>
      <c r="C55" s="52">
        <v>620</v>
      </c>
      <c r="D55" s="52">
        <v>490</v>
      </c>
      <c r="E55" s="52">
        <v>431</v>
      </c>
      <c r="F55" s="52">
        <v>340</v>
      </c>
      <c r="G55" s="52">
        <v>304</v>
      </c>
      <c r="H55" s="52">
        <v>278</v>
      </c>
      <c r="I55" s="52">
        <v>250</v>
      </c>
      <c r="J55" s="52">
        <v>220</v>
      </c>
      <c r="K55" s="52">
        <v>201</v>
      </c>
      <c r="L55" s="52">
        <v>190</v>
      </c>
    </row>
    <row r="56" spans="2:12">
      <c r="B56" s="50" t="s">
        <v>566</v>
      </c>
      <c r="C56" s="52">
        <v>490</v>
      </c>
      <c r="D56" s="52">
        <v>420</v>
      </c>
      <c r="E56" s="52">
        <v>305</v>
      </c>
      <c r="F56" s="52">
        <v>282</v>
      </c>
      <c r="G56" s="52">
        <v>247</v>
      </c>
      <c r="H56" s="52">
        <v>230</v>
      </c>
      <c r="I56" s="52">
        <v>210</v>
      </c>
      <c r="J56" s="52">
        <v>194</v>
      </c>
      <c r="K56" s="52">
        <v>150</v>
      </c>
      <c r="L56" s="52">
        <v>135</v>
      </c>
    </row>
    <row r="57" spans="2:12" ht="15.95">
      <c r="B57" s="50" t="s">
        <v>567</v>
      </c>
      <c r="C57" s="51" t="s">
        <v>540</v>
      </c>
      <c r="D57" s="51" t="s">
        <v>540</v>
      </c>
      <c r="E57" s="52">
        <v>278</v>
      </c>
      <c r="F57" s="52">
        <v>235</v>
      </c>
      <c r="G57" s="52">
        <v>207</v>
      </c>
      <c r="H57" s="52">
        <v>186</v>
      </c>
      <c r="I57" s="52">
        <v>164</v>
      </c>
      <c r="J57" s="52">
        <v>145</v>
      </c>
      <c r="K57" s="52">
        <v>115</v>
      </c>
      <c r="L57" s="52">
        <v>93</v>
      </c>
    </row>
    <row r="58" spans="2:12">
      <c r="B58" s="50" t="s">
        <v>568</v>
      </c>
      <c r="C58" s="52">
        <v>753</v>
      </c>
      <c r="D58" s="52">
        <v>630</v>
      </c>
      <c r="E58" s="52">
        <v>547</v>
      </c>
      <c r="F58" s="52">
        <v>450</v>
      </c>
      <c r="G58" s="52">
        <v>409</v>
      </c>
      <c r="H58" s="52">
        <v>374</v>
      </c>
      <c r="I58" s="52">
        <v>347</v>
      </c>
      <c r="J58" s="52">
        <v>333</v>
      </c>
      <c r="K58" s="52">
        <v>298</v>
      </c>
      <c r="L58" s="52">
        <v>256</v>
      </c>
    </row>
    <row r="60" spans="2:12" ht="15" thickBot="1"/>
    <row r="61" spans="2:12" ht="15" thickBot="1">
      <c r="B61" s="41" t="s">
        <v>569</v>
      </c>
      <c r="C61" s="120" t="s">
        <v>570</v>
      </c>
      <c r="D61" s="122"/>
      <c r="E61" s="120" t="s">
        <v>559</v>
      </c>
      <c r="F61" s="121"/>
      <c r="G61" s="121"/>
      <c r="H61" s="121"/>
      <c r="I61" s="122"/>
    </row>
    <row r="62" spans="2:12" ht="15" thickBot="1">
      <c r="B62" s="42" t="s">
        <v>571</v>
      </c>
      <c r="C62" s="43" t="s">
        <v>570</v>
      </c>
      <c r="D62" s="43" t="s">
        <v>558</v>
      </c>
      <c r="E62" s="43" t="s">
        <v>572</v>
      </c>
      <c r="F62" s="54" t="s">
        <v>560</v>
      </c>
      <c r="G62" s="54" t="s">
        <v>561</v>
      </c>
      <c r="H62" s="54" t="s">
        <v>66</v>
      </c>
      <c r="I62" s="54" t="s">
        <v>12</v>
      </c>
    </row>
    <row r="63" spans="2:12" ht="15" thickBot="1">
      <c r="B63" s="55" t="s">
        <v>536</v>
      </c>
      <c r="C63" s="56"/>
      <c r="D63" s="56"/>
      <c r="E63" s="56"/>
      <c r="F63" s="57" t="s">
        <v>520</v>
      </c>
      <c r="G63" s="57" t="s">
        <v>519</v>
      </c>
      <c r="H63" s="57" t="s">
        <v>537</v>
      </c>
      <c r="I63" s="57" t="s">
        <v>538</v>
      </c>
    </row>
    <row r="64" spans="2:12" ht="15" thickBot="1">
      <c r="B64" s="42" t="s">
        <v>573</v>
      </c>
      <c r="C64" s="120" t="s">
        <v>574</v>
      </c>
      <c r="D64" s="121"/>
      <c r="E64" s="121"/>
      <c r="F64" s="121"/>
      <c r="G64" s="121"/>
      <c r="H64" s="121"/>
      <c r="I64" s="122"/>
    </row>
    <row r="65" spans="2:9" ht="18.75" customHeight="1" thickBot="1">
      <c r="B65" s="44" t="s">
        <v>575</v>
      </c>
      <c r="C65" s="40">
        <v>170</v>
      </c>
      <c r="D65" s="40">
        <v>110</v>
      </c>
      <c r="E65" s="40">
        <v>110</v>
      </c>
      <c r="F65" s="40">
        <v>72</v>
      </c>
      <c r="G65" s="40">
        <v>60</v>
      </c>
      <c r="H65" s="40">
        <v>49</v>
      </c>
      <c r="I65" s="40">
        <v>43</v>
      </c>
    </row>
    <row r="66" spans="2:9" ht="18.75" customHeight="1" thickBot="1">
      <c r="B66" s="44" t="s">
        <v>576</v>
      </c>
      <c r="C66" s="40">
        <v>262</v>
      </c>
      <c r="D66" s="40">
        <v>210</v>
      </c>
      <c r="E66" s="40">
        <v>193</v>
      </c>
      <c r="F66" s="40">
        <v>105</v>
      </c>
      <c r="G66" s="40">
        <v>65</v>
      </c>
      <c r="H66" s="40">
        <v>55</v>
      </c>
      <c r="I66" s="40">
        <v>45</v>
      </c>
    </row>
    <row r="67" spans="2:9" ht="18.75" customHeight="1" thickBot="1">
      <c r="B67" s="44" t="s">
        <v>577</v>
      </c>
      <c r="C67" s="40">
        <v>294</v>
      </c>
      <c r="D67" s="40">
        <v>250</v>
      </c>
      <c r="E67" s="40">
        <v>209</v>
      </c>
      <c r="F67" s="40">
        <v>105</v>
      </c>
      <c r="G67" s="40">
        <v>77</v>
      </c>
      <c r="H67" s="40">
        <v>67</v>
      </c>
      <c r="I67" s="40">
        <v>57</v>
      </c>
    </row>
    <row r="68" spans="2:9" ht="18.75" customHeight="1" thickBot="1">
      <c r="B68" s="44" t="s">
        <v>578</v>
      </c>
      <c r="C68" s="40">
        <v>170</v>
      </c>
      <c r="D68" s="40">
        <v>110</v>
      </c>
      <c r="E68" s="40">
        <v>110</v>
      </c>
      <c r="F68" s="40">
        <v>72</v>
      </c>
      <c r="G68" s="40">
        <v>60</v>
      </c>
      <c r="H68" s="40">
        <v>49</v>
      </c>
      <c r="I68" s="40">
        <v>43</v>
      </c>
    </row>
    <row r="69" spans="2:9" ht="18.75" customHeight="1" thickBot="1">
      <c r="B69" s="44" t="s">
        <v>579</v>
      </c>
      <c r="C69" s="40">
        <v>688</v>
      </c>
      <c r="D69" s="40">
        <v>485</v>
      </c>
      <c r="E69" s="40">
        <v>518</v>
      </c>
      <c r="F69" s="40">
        <v>334</v>
      </c>
      <c r="G69" s="40">
        <v>303</v>
      </c>
      <c r="H69" s="40">
        <v>275</v>
      </c>
      <c r="I69" s="40">
        <v>250</v>
      </c>
    </row>
    <row r="70" spans="2:9" ht="18.75" customHeight="1" thickBot="1">
      <c r="B70" s="44" t="s">
        <v>580</v>
      </c>
      <c r="C70" s="40">
        <v>364</v>
      </c>
      <c r="D70" s="40">
        <v>300</v>
      </c>
      <c r="E70" s="40">
        <v>200</v>
      </c>
      <c r="F70" s="40">
        <v>114</v>
      </c>
      <c r="G70" s="40">
        <v>108</v>
      </c>
      <c r="H70" s="40">
        <v>101</v>
      </c>
      <c r="I70" s="40">
        <v>96</v>
      </c>
    </row>
    <row r="71" spans="2:9" ht="18.75" customHeight="1" thickBot="1">
      <c r="B71" s="44" t="s">
        <v>581</v>
      </c>
      <c r="C71" s="40">
        <v>364</v>
      </c>
      <c r="D71" s="40">
        <v>300</v>
      </c>
      <c r="E71" s="40">
        <v>200</v>
      </c>
      <c r="F71" s="40">
        <v>114</v>
      </c>
      <c r="G71" s="40">
        <v>108</v>
      </c>
      <c r="H71" s="40">
        <v>101</v>
      </c>
      <c r="I71" s="40">
        <v>96</v>
      </c>
    </row>
    <row r="72" spans="2:9" ht="18.75" customHeight="1" thickBot="1">
      <c r="B72" s="44" t="s">
        <v>582</v>
      </c>
      <c r="C72" s="40">
        <v>247</v>
      </c>
      <c r="D72" s="40">
        <v>146</v>
      </c>
      <c r="E72" s="40">
        <v>181</v>
      </c>
      <c r="F72" s="40">
        <v>95</v>
      </c>
      <c r="G72" s="40">
        <v>75</v>
      </c>
      <c r="H72" s="40">
        <v>65</v>
      </c>
      <c r="I72" s="40">
        <v>45</v>
      </c>
    </row>
    <row r="73" spans="2:9" ht="18.75" customHeight="1" thickBot="1">
      <c r="B73" s="44" t="s">
        <v>583</v>
      </c>
      <c r="C73" s="40">
        <v>350</v>
      </c>
      <c r="D73" s="40">
        <v>280</v>
      </c>
      <c r="E73" s="40">
        <v>174</v>
      </c>
      <c r="F73" s="40">
        <v>109</v>
      </c>
      <c r="G73" s="40">
        <v>89</v>
      </c>
      <c r="H73" s="40">
        <v>79</v>
      </c>
      <c r="I73" s="40">
        <v>69</v>
      </c>
    </row>
    <row r="74" spans="2:9" ht="18.75" customHeight="1" thickBot="1">
      <c r="B74" s="44" t="s">
        <v>584</v>
      </c>
      <c r="C74" s="45">
        <v>1300</v>
      </c>
      <c r="D74" s="45">
        <v>1100</v>
      </c>
      <c r="E74" s="45">
        <v>1050</v>
      </c>
      <c r="F74" s="40">
        <v>650</v>
      </c>
      <c r="G74" s="40">
        <v>580</v>
      </c>
      <c r="H74" s="40">
        <v>530</v>
      </c>
      <c r="I74" s="40">
        <v>450</v>
      </c>
    </row>
    <row r="75" spans="2:9" ht="18.75" customHeight="1" thickBot="1">
      <c r="B75" s="44" t="s">
        <v>585</v>
      </c>
      <c r="C75" s="40">
        <v>380</v>
      </c>
      <c r="D75" s="40">
        <v>220</v>
      </c>
      <c r="E75" s="40">
        <v>190</v>
      </c>
      <c r="F75" s="40">
        <v>125</v>
      </c>
      <c r="G75" s="40">
        <v>115</v>
      </c>
      <c r="H75" s="40">
        <v>105</v>
      </c>
      <c r="I75" s="40">
        <v>95</v>
      </c>
    </row>
    <row r="76" spans="2:9" ht="18.75" customHeight="1" thickBot="1">
      <c r="B76" s="44" t="s">
        <v>586</v>
      </c>
      <c r="C76" s="40">
        <v>320</v>
      </c>
      <c r="D76" s="40">
        <v>240</v>
      </c>
      <c r="E76" s="40">
        <v>220</v>
      </c>
      <c r="F76" s="40">
        <v>130</v>
      </c>
      <c r="G76" s="40">
        <v>120</v>
      </c>
      <c r="H76" s="40">
        <v>110</v>
      </c>
      <c r="I76" s="40">
        <v>90</v>
      </c>
    </row>
    <row r="77" spans="2:9" ht="18.75" customHeight="1" thickBot="1">
      <c r="B77" s="44" t="s">
        <v>587</v>
      </c>
      <c r="C77" s="45">
        <v>1500</v>
      </c>
      <c r="D77" s="45">
        <v>1200</v>
      </c>
      <c r="E77" s="45">
        <v>1100</v>
      </c>
      <c r="F77" s="40">
        <v>750</v>
      </c>
      <c r="G77" s="40">
        <v>430</v>
      </c>
      <c r="H77" s="40">
        <v>400</v>
      </c>
      <c r="I77" s="40">
        <v>350</v>
      </c>
    </row>
    <row r="78" spans="2:9" ht="18.75" customHeight="1" thickBot="1">
      <c r="B78" s="44" t="s">
        <v>588</v>
      </c>
      <c r="C78" s="40">
        <v>250</v>
      </c>
      <c r="D78" s="40">
        <v>170</v>
      </c>
      <c r="E78" s="40">
        <v>180</v>
      </c>
      <c r="F78" s="40">
        <v>100</v>
      </c>
      <c r="G78" s="40">
        <v>95</v>
      </c>
      <c r="H78" s="40">
        <v>90</v>
      </c>
      <c r="I78" s="40">
        <v>80</v>
      </c>
    </row>
    <row r="79" spans="2:9" ht="18.75" customHeight="1" thickBot="1">
      <c r="B79" s="44" t="s">
        <v>589</v>
      </c>
      <c r="C79" s="40">
        <v>600</v>
      </c>
      <c r="D79" s="40">
        <v>500</v>
      </c>
      <c r="E79" s="40">
        <v>460</v>
      </c>
      <c r="F79" s="40">
        <v>199</v>
      </c>
      <c r="G79" s="40">
        <v>170</v>
      </c>
      <c r="H79" s="40">
        <v>139</v>
      </c>
      <c r="I79" s="40">
        <v>119</v>
      </c>
    </row>
  </sheetData>
  <mergeCells count="7">
    <mergeCell ref="C64:I64"/>
    <mergeCell ref="B30:B31"/>
    <mergeCell ref="C30:L30"/>
    <mergeCell ref="C31:D31"/>
    <mergeCell ref="E31:L31"/>
    <mergeCell ref="C61:D61"/>
    <mergeCell ref="E61:I6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BD0B-F2FB-42FC-B002-C2C1F0BB367A}">
  <dimension ref="B1:I93"/>
  <sheetViews>
    <sheetView showGridLines="0" tabSelected="1" topLeftCell="B1" zoomScaleNormal="100" workbookViewId="0">
      <selection activeCell="B7" sqref="B7"/>
    </sheetView>
  </sheetViews>
  <sheetFormatPr defaultColWidth="9.140625" defaultRowHeight="14.45"/>
  <cols>
    <col min="1" max="1" width="3.42578125" style="67" customWidth="1"/>
    <col min="2" max="2" width="173.7109375" style="67" customWidth="1"/>
    <col min="3" max="9" width="9.140625" style="67" hidden="1" customWidth="1"/>
    <col min="10" max="16384" width="9.140625" style="67"/>
  </cols>
  <sheetData>
    <row r="1" spans="2:2" ht="8.25" customHeight="1"/>
    <row r="2" spans="2:2" ht="37.5" thickBot="1">
      <c r="B2" s="66" t="s">
        <v>590</v>
      </c>
    </row>
    <row r="3" spans="2:2" ht="16.5" thickTop="1">
      <c r="B3" s="58"/>
    </row>
    <row r="4" spans="2:2" ht="18.600000000000001">
      <c r="B4" s="65" t="s">
        <v>591</v>
      </c>
    </row>
    <row r="5" spans="2:2" ht="15.95">
      <c r="B5" s="68" t="s">
        <v>592</v>
      </c>
    </row>
    <row r="6" spans="2:2" ht="15.95">
      <c r="B6" s="68" t="s">
        <v>593</v>
      </c>
    </row>
    <row r="7" spans="2:2" ht="15.95">
      <c r="B7" s="68" t="s">
        <v>594</v>
      </c>
    </row>
    <row r="8" spans="2:2" ht="15.95">
      <c r="B8" s="68" t="s">
        <v>595</v>
      </c>
    </row>
    <row r="9" spans="2:2" ht="16.5" thickBot="1">
      <c r="B9" s="68" t="s">
        <v>596</v>
      </c>
    </row>
    <row r="10" spans="2:2" ht="16.5" thickTop="1">
      <c r="B10" s="58"/>
    </row>
    <row r="11" spans="2:2" ht="18.600000000000001">
      <c r="B11" s="65" t="s">
        <v>597</v>
      </c>
    </row>
    <row r="12" spans="2:2" ht="15.95">
      <c r="B12" s="59" t="s">
        <v>598</v>
      </c>
    </row>
    <row r="13" spans="2:2" ht="15.95">
      <c r="B13" s="59" t="s">
        <v>599</v>
      </c>
    </row>
    <row r="14" spans="2:2" ht="15.95">
      <c r="B14" s="69" t="s">
        <v>600</v>
      </c>
    </row>
    <row r="15" spans="2:2" ht="15.95">
      <c r="B15" s="69" t="s">
        <v>601</v>
      </c>
    </row>
    <row r="16" spans="2:2" ht="15.95">
      <c r="B16" s="59" t="s">
        <v>602</v>
      </c>
    </row>
    <row r="17" spans="2:2" ht="15.95">
      <c r="B17" s="69" t="s">
        <v>603</v>
      </c>
    </row>
    <row r="18" spans="2:2" ht="15.95">
      <c r="B18" s="69" t="s">
        <v>604</v>
      </c>
    </row>
    <row r="19" spans="2:2" ht="15.95">
      <c r="B19" s="59" t="s">
        <v>605</v>
      </c>
    </row>
    <row r="20" spans="2:2" ht="16.5" thickBot="1">
      <c r="B20" s="59" t="s">
        <v>606</v>
      </c>
    </row>
    <row r="21" spans="2:2" ht="16.5" thickTop="1">
      <c r="B21" s="58"/>
    </row>
    <row r="22" spans="2:2" ht="18.600000000000001">
      <c r="B22" s="65" t="s">
        <v>607</v>
      </c>
    </row>
    <row r="23" spans="2:2" ht="15.95">
      <c r="B23" s="59" t="s">
        <v>608</v>
      </c>
    </row>
    <row r="24" spans="2:2" ht="15.95">
      <c r="B24" s="59" t="s">
        <v>609</v>
      </c>
    </row>
    <row r="25" spans="2:2" ht="16.5" thickBot="1">
      <c r="B25" s="60" t="s">
        <v>610</v>
      </c>
    </row>
    <row r="26" spans="2:2" ht="16.5" thickTop="1">
      <c r="B26" s="58"/>
    </row>
    <row r="27" spans="2:2" ht="18.600000000000001">
      <c r="B27" s="65" t="s">
        <v>611</v>
      </c>
    </row>
    <row r="28" spans="2:2" ht="15.95">
      <c r="B28" s="60" t="s">
        <v>612</v>
      </c>
    </row>
    <row r="29" spans="2:2" ht="16.5" thickBot="1">
      <c r="B29" s="59" t="s">
        <v>613</v>
      </c>
    </row>
    <row r="30" spans="2:2" ht="16.5" thickTop="1">
      <c r="B30" s="58"/>
    </row>
    <row r="31" spans="2:2" ht="18.600000000000001">
      <c r="B31" s="65" t="s">
        <v>614</v>
      </c>
    </row>
    <row r="32" spans="2:2" ht="15.95">
      <c r="B32" s="59" t="s">
        <v>615</v>
      </c>
    </row>
    <row r="33" spans="2:2" ht="15.95">
      <c r="B33" s="59" t="s">
        <v>616</v>
      </c>
    </row>
    <row r="34" spans="2:2" ht="16.5" thickBot="1">
      <c r="B34" s="59" t="s">
        <v>617</v>
      </c>
    </row>
    <row r="35" spans="2:2" ht="16.5" thickTop="1">
      <c r="B35" s="58"/>
    </row>
    <row r="36" spans="2:2" ht="18.600000000000001">
      <c r="B36" s="65" t="s">
        <v>618</v>
      </c>
    </row>
    <row r="37" spans="2:2" ht="15.95">
      <c r="B37" s="59" t="s">
        <v>619</v>
      </c>
    </row>
    <row r="38" spans="2:2" ht="16.5" thickBot="1">
      <c r="B38" s="59" t="s">
        <v>620</v>
      </c>
    </row>
    <row r="39" spans="2:2" ht="16.5" thickTop="1">
      <c r="B39" s="58"/>
    </row>
    <row r="40" spans="2:2" ht="18.600000000000001">
      <c r="B40" s="65" t="s">
        <v>621</v>
      </c>
    </row>
    <row r="41" spans="2:2" ht="15.95">
      <c r="B41" s="59" t="s">
        <v>622</v>
      </c>
    </row>
    <row r="42" spans="2:2" ht="16.5" thickBot="1">
      <c r="B42" s="59" t="s">
        <v>623</v>
      </c>
    </row>
    <row r="43" spans="2:2" ht="16.5" thickTop="1">
      <c r="B43" s="58"/>
    </row>
    <row r="44" spans="2:2" ht="23.1">
      <c r="B44" s="63" t="s">
        <v>624</v>
      </c>
    </row>
    <row r="45" spans="2:2" ht="17.45">
      <c r="B45" s="64" t="s">
        <v>625</v>
      </c>
    </row>
    <row r="46" spans="2:2" ht="17.100000000000001">
      <c r="B46" s="61" t="s">
        <v>626</v>
      </c>
    </row>
    <row r="47" spans="2:2" ht="15.95">
      <c r="B47" s="60"/>
    </row>
    <row r="48" spans="2:2" ht="17.45">
      <c r="B48" s="64" t="s">
        <v>627</v>
      </c>
    </row>
    <row r="49" spans="2:2" ht="17.100000000000001">
      <c r="B49" s="61" t="s">
        <v>628</v>
      </c>
    </row>
    <row r="50" spans="2:2" ht="17.100000000000001">
      <c r="B50" s="61" t="s">
        <v>629</v>
      </c>
    </row>
    <row r="51" spans="2:2" ht="15.95">
      <c r="B51" s="60"/>
    </row>
    <row r="52" spans="2:2" ht="17.45">
      <c r="B52" s="64" t="s">
        <v>630</v>
      </c>
    </row>
    <row r="53" spans="2:2" ht="17.100000000000001">
      <c r="B53" s="61" t="s">
        <v>631</v>
      </c>
    </row>
    <row r="54" spans="2:2" ht="15.95">
      <c r="B54" s="60"/>
    </row>
    <row r="55" spans="2:2" ht="17.45">
      <c r="B55" s="64" t="s">
        <v>632</v>
      </c>
    </row>
    <row r="56" spans="2:2" ht="17.100000000000001">
      <c r="B56" s="61" t="s">
        <v>633</v>
      </c>
    </row>
    <row r="57" spans="2:2" ht="15.95">
      <c r="B57" s="60"/>
    </row>
    <row r="58" spans="2:2" ht="17.45">
      <c r="B58" s="64" t="s">
        <v>634</v>
      </c>
    </row>
    <row r="59" spans="2:2" ht="17.100000000000001">
      <c r="B59" s="61" t="s">
        <v>635</v>
      </c>
    </row>
    <row r="60" spans="2:2" ht="15.95">
      <c r="B60" s="60"/>
    </row>
    <row r="61" spans="2:2" ht="17.45">
      <c r="B61" s="64" t="s">
        <v>636</v>
      </c>
    </row>
    <row r="62" spans="2:2" ht="17.100000000000001">
      <c r="B62" s="61" t="s">
        <v>637</v>
      </c>
    </row>
    <row r="63" spans="2:2" ht="15.95">
      <c r="B63" s="60"/>
    </row>
    <row r="64" spans="2:2" ht="17.45">
      <c r="B64" s="64" t="s">
        <v>638</v>
      </c>
    </row>
    <row r="65" spans="2:2" ht="17.100000000000001">
      <c r="B65" s="61" t="s">
        <v>639</v>
      </c>
    </row>
    <row r="66" spans="2:2" ht="15.95">
      <c r="B66" s="60"/>
    </row>
    <row r="67" spans="2:2" ht="17.45">
      <c r="B67" s="64" t="s">
        <v>640</v>
      </c>
    </row>
    <row r="68" spans="2:2" ht="17.100000000000001">
      <c r="B68" s="61" t="s">
        <v>641</v>
      </c>
    </row>
    <row r="69" spans="2:2" ht="15.95">
      <c r="B69" s="60"/>
    </row>
    <row r="70" spans="2:2" ht="17.45">
      <c r="B70" s="64" t="s">
        <v>642</v>
      </c>
    </row>
    <row r="71" spans="2:2" ht="17.100000000000001">
      <c r="B71" s="62" t="s">
        <v>643</v>
      </c>
    </row>
    <row r="72" spans="2:2" ht="17.100000000000001">
      <c r="B72" s="62" t="s">
        <v>644</v>
      </c>
    </row>
    <row r="73" spans="2:2" ht="17.100000000000001">
      <c r="B73" s="62" t="s">
        <v>645</v>
      </c>
    </row>
    <row r="74" spans="2:2" ht="15.95">
      <c r="B74" s="60"/>
    </row>
    <row r="75" spans="2:2" ht="17.45">
      <c r="B75" s="64" t="s">
        <v>646</v>
      </c>
    </row>
    <row r="76" spans="2:2" ht="17.100000000000001">
      <c r="B76" s="61" t="s">
        <v>647</v>
      </c>
    </row>
    <row r="77" spans="2:2" ht="17.100000000000001">
      <c r="B77" s="61" t="s">
        <v>648</v>
      </c>
    </row>
    <row r="78" spans="2:2" ht="15.95">
      <c r="B78" s="60"/>
    </row>
    <row r="79" spans="2:2" ht="17.45">
      <c r="B79" s="64" t="s">
        <v>649</v>
      </c>
    </row>
    <row r="80" spans="2:2" ht="17.100000000000001">
      <c r="B80" s="62" t="s">
        <v>650</v>
      </c>
    </row>
    <row r="81" spans="2:2" ht="17.100000000000001">
      <c r="B81" s="62" t="s">
        <v>651</v>
      </c>
    </row>
    <row r="82" spans="2:2" ht="15.95">
      <c r="B82" s="60"/>
    </row>
    <row r="83" spans="2:2" ht="17.45">
      <c r="B83" s="64" t="s">
        <v>652</v>
      </c>
    </row>
    <row r="84" spans="2:2" ht="17.100000000000001">
      <c r="B84" s="61" t="s">
        <v>653</v>
      </c>
    </row>
    <row r="85" spans="2:2" ht="15.95">
      <c r="B85" s="60"/>
    </row>
    <row r="86" spans="2:2" ht="17.45">
      <c r="B86" s="64" t="s">
        <v>654</v>
      </c>
    </row>
    <row r="87" spans="2:2" ht="17.100000000000001">
      <c r="B87" s="61" t="s">
        <v>655</v>
      </c>
    </row>
    <row r="88" spans="2:2" ht="15.95">
      <c r="B88" s="60"/>
    </row>
    <row r="89" spans="2:2" ht="17.45">
      <c r="B89" s="64" t="s">
        <v>656</v>
      </c>
    </row>
    <row r="90" spans="2:2" ht="17.100000000000001">
      <c r="B90" s="61" t="s">
        <v>657</v>
      </c>
    </row>
    <row r="91" spans="2:2" ht="15.95">
      <c r="B91" s="60"/>
    </row>
    <row r="92" spans="2:2" ht="15.95">
      <c r="B92" s="60"/>
    </row>
    <row r="93" spans="2:2" ht="15.95">
      <c r="B93" s="60"/>
    </row>
  </sheetData>
  <pageMargins left="0.7" right="0.7" top="0.75" bottom="0.75" header="0.3" footer="0.3"/>
  <pageSetup paperSize="9" scale="71" orientation="portrait" horizontalDpi="300" verticalDpi="300" r:id="rId1"/>
  <rowBreaks count="1" manualBreakCount="1">
    <brk id="42" min="1" max="8" man="1"/>
  </rowBreaks>
  <colBreaks count="1" manualBreakCount="1">
    <brk id="2" max="96"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34D5AEB8B8584A892C836D8303B5F5" ma:contentTypeVersion="17" ma:contentTypeDescription="Create a new document." ma:contentTypeScope="" ma:versionID="1175401547a7d7b7936c92e9e095a7f2">
  <xsd:schema xmlns:xsd="http://www.w3.org/2001/XMLSchema" xmlns:xs="http://www.w3.org/2001/XMLSchema" xmlns:p="http://schemas.microsoft.com/office/2006/metadata/properties" xmlns:ns2="58a9cdde-8663-4c7e-a7e6-891cc843760c" xmlns:ns3="1d45a150-8e89-4cc6-90e5-d11411d68b25" targetNamespace="http://schemas.microsoft.com/office/2006/metadata/properties" ma:root="true" ma:fieldsID="e48c01bb936bc94fe0965d423f734957" ns2:_="" ns3:_="">
    <xsd:import namespace="58a9cdde-8663-4c7e-a7e6-891cc843760c"/>
    <xsd:import namespace="1d45a150-8e89-4cc6-90e5-d11411d68b2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a9cdde-8663-4c7e-a7e6-891cc84376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e73e03-fa5e-44f8-a7f5-93b7f4f15d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45a150-8e89-4cc6-90e5-d11411d68b2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f496ef6-5321-44ab-b459-13dd82846ebe}" ma:internalName="TaxCatchAll" ma:showField="CatchAllData" ma:web="1d45a150-8e89-4cc6-90e5-d11411d68b2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8a9cdde-8663-4c7e-a7e6-891cc843760c">
      <Terms xmlns="http://schemas.microsoft.com/office/infopath/2007/PartnerControls"/>
    </lcf76f155ced4ddcb4097134ff3c332f>
    <TaxCatchAll xmlns="1d45a150-8e89-4cc6-90e5-d11411d68b25" xsi:nil="true"/>
  </documentManagement>
</p:properties>
</file>

<file path=customXml/itemProps1.xml><?xml version="1.0" encoding="utf-8"?>
<ds:datastoreItem xmlns:ds="http://schemas.openxmlformats.org/officeDocument/2006/customXml" ds:itemID="{7B9A592D-5AE3-43F2-88BA-EB9AFC74B7A0}"/>
</file>

<file path=customXml/itemProps2.xml><?xml version="1.0" encoding="utf-8"?>
<ds:datastoreItem xmlns:ds="http://schemas.openxmlformats.org/officeDocument/2006/customXml" ds:itemID="{D98D9CFE-2B7E-4F51-834F-468E3EA3CFEE}"/>
</file>

<file path=customXml/itemProps3.xml><?xml version="1.0" encoding="utf-8"?>
<ds:datastoreItem xmlns:ds="http://schemas.openxmlformats.org/officeDocument/2006/customXml" ds:itemID="{7B768D9C-C959-4CD0-B28E-7F34BC536EE4}"/>
</file>

<file path=docProps/app.xml><?xml version="1.0" encoding="utf-8"?>
<Properties xmlns="http://schemas.openxmlformats.org/officeDocument/2006/extended-properties" xmlns:vt="http://schemas.openxmlformats.org/officeDocument/2006/docPropsVTypes">
  <Application>Microsoft Excel Online</Application>
  <Manager/>
  <Company>Emirates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Claudelle Amara - ROM (Global Products)</dc:creator>
  <cp:keywords/>
  <dc:description/>
  <cp:lastModifiedBy/>
  <cp:revision/>
  <dcterms:created xsi:type="dcterms:W3CDTF">2025-08-07T05:15:18Z</dcterms:created>
  <dcterms:modified xsi:type="dcterms:W3CDTF">2026-07-10T10:40:43Z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7962db2-8021-4672-ab50-833f15a1c47a_Enabled">
    <vt:lpwstr>true</vt:lpwstr>
  </property>
  <property fmtid="{D5CDD505-2E9C-101B-9397-08002B2CF9AE}" pid="3" name="MSIP_Label_c7962db2-8021-4672-ab50-833f15a1c47a_SetDate">
    <vt:lpwstr>2025-08-07T05:30:01Z</vt:lpwstr>
  </property>
  <property fmtid="{D5CDD505-2E9C-101B-9397-08002B2CF9AE}" pid="4" name="MSIP_Label_c7962db2-8021-4672-ab50-833f15a1c47a_Method">
    <vt:lpwstr>Standard</vt:lpwstr>
  </property>
  <property fmtid="{D5CDD505-2E9C-101B-9397-08002B2CF9AE}" pid="5" name="MSIP_Label_c7962db2-8021-4672-ab50-833f15a1c47a_Name">
    <vt:lpwstr>c7962db2-8021-4672-ab50-833f15a1c47a</vt:lpwstr>
  </property>
  <property fmtid="{D5CDD505-2E9C-101B-9397-08002B2CF9AE}" pid="6" name="MSIP_Label_c7962db2-8021-4672-ab50-833f15a1c47a_SiteId">
    <vt:lpwstr>e0b26355-1889-40d8-8ef1-e559616befda</vt:lpwstr>
  </property>
  <property fmtid="{D5CDD505-2E9C-101B-9397-08002B2CF9AE}" pid="7" name="MSIP_Label_c7962db2-8021-4672-ab50-833f15a1c47a_ActionId">
    <vt:lpwstr>ee5da6fd-2618-4693-a81b-f2468496f52a</vt:lpwstr>
  </property>
  <property fmtid="{D5CDD505-2E9C-101B-9397-08002B2CF9AE}" pid="8" name="MSIP_Label_c7962db2-8021-4672-ab50-833f15a1c47a_ContentBits">
    <vt:lpwstr>2</vt:lpwstr>
  </property>
  <property fmtid="{D5CDD505-2E9C-101B-9397-08002B2CF9AE}" pid="9" name="MSIP_Label_c7962db2-8021-4672-ab50-833f15a1c47a_Tag">
    <vt:lpwstr>10, 3, 0, 1</vt:lpwstr>
  </property>
  <property fmtid="{D5CDD505-2E9C-101B-9397-08002B2CF9AE}" pid="10" name="MediaServiceImageTags">
    <vt:lpwstr/>
  </property>
  <property fmtid="{D5CDD505-2E9C-101B-9397-08002B2CF9AE}" pid="11" name="ContentTypeId">
    <vt:lpwstr>0x0101002A34D5AEB8B8584A892C836D8303B5F5</vt:lpwstr>
  </property>
</Properties>
</file>